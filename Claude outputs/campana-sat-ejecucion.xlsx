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ción" sheetId="1" state="visible" r:id="rId3"/>
    <sheet name="Proyección" sheetId="2" state="visible" r:id="rId4"/>
    <sheet name="Extensiones" sheetId="3" state="visible" r:id="rId5"/>
    <sheet name="Keywords finales" sheetId="4" state="visible" r:id="rId6"/>
    <sheet name="Revisión seman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<sst xmlns="http://schemas.openxmlformats.org/spreadsheetml/2006/main" count="226" uniqueCount="162">
  <si>
    <t xml:space="preserve">Campaña SAT · Opción A · Configuración de ejecución</t>
  </si>
  <si>
    <t xml:space="preserve">Decisión</t>
  </si>
  <si>
    <t xml:space="preserve">Opción A. Solo las keywords con demanda verificada. No se agregan términos de más volumen que traen un comprador que no paga este ticket.</t>
  </si>
  <si>
    <t xml:space="preserve">La consecuencia</t>
  </si>
  <si>
    <t xml:space="preserve">El techo no es el presupuesto, es la demanda. Con $10.000 al día sobraría plata todos los días. La palanca deja de ser cuánto gastás por día y pasa a ser cuántos días corrés.</t>
  </si>
  <si>
    <t xml:space="preserve">Duración</t>
  </si>
  <si>
    <t xml:space="preserve">80 días. Del 17 de septiembre al 5 de diciembre de 2026. Es lo que da el bono al ritmo que la demanda permite.</t>
  </si>
  <si>
    <t xml:space="preserve">Presupuesto diario</t>
  </si>
  <si>
    <t xml:space="preserve">$3.750 COP. Los $300.000 repartidos en 80 días.</t>
  </si>
  <si>
    <t xml:space="preserve">Por qué 80 días</t>
  </si>
  <si>
    <t xml:space="preserve">La misma gente busca cada mes. Casi tres meses son casi tres veces las búsquedas, casi tres veces las oportunidades, y el mismo dinero. Además le da a la conversión tiempo de acumular datos.</t>
  </si>
  <si>
    <t xml:space="preserve">Estrategia de puja</t>
  </si>
  <si>
    <t xml:space="preserve">Maximizar clics con límite de CPC por keyword. Con presupuesto de sobra, el límite alto no te hace gastar más: te hace ganar más subastas.</t>
  </si>
  <si>
    <t xml:space="preserve">Cuota de impresiones objetivo</t>
  </si>
  <si>
    <t xml:space="preserve">85% o más. Hoy el plan asumía 55%. Perder subastas cuando sobra presupuesto es el desperdicio más caro de esta campaña.</t>
  </si>
  <si>
    <t xml:space="preserve">Ubicación</t>
  </si>
  <si>
    <t xml:space="preserve">Colombia. Presencia: personas que ESTÁN en Colombia. No 'interesadas en'.</t>
  </si>
  <si>
    <t xml:space="preserve">Horario</t>
  </si>
  <si>
    <t xml:space="preserve">Lunes a viernes 7:00 a 18:00, sábado 8:00 a 13:00. El comprador de un UPS de 3 y 6 kVA es un área de sistemas o un integrador.</t>
  </si>
  <si>
    <t xml:space="preserve">Dispositivo</t>
  </si>
  <si>
    <t xml:space="preserve">Sin ajuste al inicio. A los 30 días revisar si móvil convierte; si no, bajarlo.</t>
  </si>
  <si>
    <t xml:space="preserve">Red</t>
  </si>
  <si>
    <t xml:space="preserve">Solo Búsqueda. Sin socios de búsqueda, sin Display, sin Performance Max.</t>
  </si>
  <si>
    <t xml:space="preserve">Concordancia</t>
  </si>
  <si>
    <t xml:space="preserve">Exacta y frase. Cero amplia.</t>
  </si>
  <si>
    <t xml:space="preserve">Estado</t>
  </si>
  <si>
    <t xml:space="preserve">LISTA PARA REVISIÓN. No publicada.</t>
  </si>
  <si>
    <t xml:space="preserve">Qué cambia al correr 90 días y pelear la subasta</t>
  </si>
  <si>
    <t xml:space="preserve">3 kVA</t>
  </si>
  <si>
    <t xml:space="preserve">6 kVA</t>
  </si>
  <si>
    <t xml:space="preserve">Nota</t>
  </si>
  <si>
    <t xml:space="preserve">Búsquedas al mes</t>
  </si>
  <si>
    <t xml:space="preserve">Verificado en Ubersuggest, Colombia</t>
  </si>
  <si>
    <t xml:space="preserve">Captura con exacta y frase</t>
  </si>
  <si>
    <t xml:space="preserve">Editable</t>
  </si>
  <si>
    <t xml:space="preserve">Cuota de impresiones</t>
  </si>
  <si>
    <t xml:space="preserve">Editable. Sube de 55% a 85% porque hay presupuesto para pelear todas las subastas</t>
  </si>
  <si>
    <t xml:space="preserve">CTR del anuncio</t>
  </si>
  <si>
    <t xml:space="preserve">Editable. Sube de 7% a 10% con las extensiones de la pestaña siguiente</t>
  </si>
  <si>
    <t xml:space="preserve">Clics al mes</t>
  </si>
  <si>
    <t xml:space="preserve">CPC promedio</t>
  </si>
  <si>
    <t xml:space="preserve">Editable. Del CPC de Ubersuggest de cada grupo</t>
  </si>
  <si>
    <t xml:space="preserve">Gasto al mes</t>
  </si>
  <si>
    <t xml:space="preserve">Meses de campaña</t>
  </si>
  <si>
    <t xml:space="preserve">Editable. 2,7 meses = 80 días, que es lo que alcanza el bono a este ritmo</t>
  </si>
  <si>
    <t xml:space="preserve">Clics en total</t>
  </si>
  <si>
    <t xml:space="preserve">Gasto en total</t>
  </si>
  <si>
    <t xml:space="preserve">Tasa de cotización</t>
  </si>
  <si>
    <t xml:space="preserve">Editable. Supuesto, no medido</t>
  </si>
  <si>
    <t xml:space="preserve">Cotizaciones en total</t>
  </si>
  <si>
    <t xml:space="preserve">Tasa de cierre</t>
  </si>
  <si>
    <t xml:space="preserve">Ventas</t>
  </si>
  <si>
    <t xml:space="preserve">Precio de venta</t>
  </si>
  <si>
    <t xml:space="preserve">Dato tuyo del 17 de septiembre</t>
  </si>
  <si>
    <t xml:space="preserve">Ingreso</t>
  </si>
  <si>
    <t xml:space="preserve">Ingreso, no margen</t>
  </si>
  <si>
    <t xml:space="preserve">Gasto total entre los dos</t>
  </si>
  <si>
    <t xml:space="preserve">Del bono de $300.000, sin usar</t>
  </si>
  <si>
    <t xml:space="preserve">Las tasas de cotización y de cierre son supuestos: esta cuenta no tiene historial de conversiones. Todo lo amarillo se puede cambiar. Es una estimación, no una promesa.</t>
  </si>
  <si>
    <t xml:space="preserve">Tipo</t>
  </si>
  <si>
    <t xml:space="preserve">Contenido</t>
  </si>
  <si>
    <t xml:space="preserve">Destino / detalle</t>
  </si>
  <si>
    <t xml:space="preserve">Por qué</t>
  </si>
  <si>
    <t xml:space="preserve">Enlace de sitio</t>
  </si>
  <si>
    <t xml:space="preserve">Ver ficha técnica completa</t>
  </si>
  <si>
    <t xml:space="preserve">https://netpowerit.co/producto/ups-online-monofasica-sat-uol3</t>
  </si>
  <si>
    <t xml:space="preserve">Ocupa más alto en la página y da una segunda razón para hacer clic. Suben el CTR sin costo extra</t>
  </si>
  <si>
    <t xml:space="preserve">Solicitar cotización</t>
  </si>
  <si>
    <t xml:space="preserve">https://netpowerit.co/cotizaciones</t>
  </si>
  <si>
    <t xml:space="preserve">Camino directo a la conversión desde el propio anuncio</t>
  </si>
  <si>
    <t xml:space="preserve">Otras capacidades de UPS</t>
  </si>
  <si>
    <t xml:space="preserve">https://netpowerit.co/tienda</t>
  </si>
  <si>
    <t xml:space="preserve">Si busca 3 kVA y necesita 2 o 6, no lo perdés</t>
  </si>
  <si>
    <t xml:space="preserve">Quiénes somos</t>
  </si>
  <si>
    <t xml:space="preserve">https://netpowerit.co/quienes-somos</t>
  </si>
  <si>
    <t xml:space="preserve">En una compra de millones, saber a quién le comprás pesa</t>
  </si>
  <si>
    <t xml:space="preserve">Texto destacado</t>
  </si>
  <si>
    <t xml:space="preserve">Distribuidor oficial SAT</t>
  </si>
  <si>
    <t xml:space="preserve">Responde la objeción de confianza antes del clic</t>
  </si>
  <si>
    <t xml:space="preserve">Garantía oficial de fábrica</t>
  </si>
  <si>
    <t xml:space="preserve">Idem</t>
  </si>
  <si>
    <t xml:space="preserve">Entrega en toda Colombia</t>
  </si>
  <si>
    <t xml:space="preserve">Quita la duda logística</t>
  </si>
  <si>
    <t xml:space="preserve">Asesoría técnica sin costo</t>
  </si>
  <si>
    <t xml:space="preserve">El comprador no siempre sabe qué capacidad necesita</t>
  </si>
  <si>
    <t xml:space="preserve">Respuesta en menos de 1 hora</t>
  </si>
  <si>
    <t xml:space="preserve">Solo si se puede cumplir. Si no, sacalo</t>
  </si>
  <si>
    <t xml:space="preserve">Fragmento estructurado</t>
  </si>
  <si>
    <t xml:space="preserve">Tipos: Online · Interactiva · Bifásica · Monofásica</t>
  </si>
  <si>
    <t xml:space="preserve">Encabezado 'Tipos'</t>
  </si>
  <si>
    <t xml:space="preserve">Deja claro el catálogo en el propio anuncio</t>
  </si>
  <si>
    <t xml:space="preserve">Marcas: SAT · APC · Forza · Powest · CDP</t>
  </si>
  <si>
    <t xml:space="preserve">Encabezado 'Marcas'</t>
  </si>
  <si>
    <t xml:space="preserve">Da contexto de distribuidor serio</t>
  </si>
  <si>
    <t xml:space="preserve">Llamada</t>
  </si>
  <si>
    <t xml:space="preserve">+57 350 460 9431</t>
  </si>
  <si>
    <t xml:space="preserve">Solo en horario de atención</t>
  </si>
  <si>
    <t xml:space="preserve">En B2B de ticket alto muchos llaman en vez de llenar un formulario</t>
  </si>
  <si>
    <t xml:space="preserve">AK 7 #156-80, NorthPoint Torre 2, Of. 1004, Bogotá</t>
  </si>
  <si>
    <t xml:space="preserve">Vincular el perfil de Google Business</t>
  </si>
  <si>
    <t xml:space="preserve">Tener dirección física sube la confianza en una compra de millones</t>
  </si>
  <si>
    <t xml:space="preserve">Imagen</t>
  </si>
  <si>
    <t xml:space="preserve">Foto del UPS sobre fondo claro</t>
  </si>
  <si>
    <t xml:space="preserve">1200x1200 y 1200x628</t>
  </si>
  <si>
    <t xml:space="preserve">Ocupa más espacio en móvil</t>
  </si>
  <si>
    <t xml:space="preserve">Esto es lo que más mueve la aguja cuando la demanda es fija: no traen búsquedas nuevas, pero hacen que de las mismas búsquedas te hagan clic más personas. Es alcance gratis. Cargalas todas antes de encender.</t>
  </si>
  <si>
    <t xml:space="preserve">Grupo</t>
  </si>
  <si>
    <t xml:space="preserve">Keyword</t>
  </si>
  <si>
    <t xml:space="preserve">Vol./mes</t>
  </si>
  <si>
    <t xml:space="preserve">CPC tope (COP)</t>
  </si>
  <si>
    <t xml:space="preserve">Landing</t>
  </si>
  <si>
    <t xml:space="preserve">ups 3kva</t>
  </si>
  <si>
    <t xml:space="preserve">Exacta</t>
  </si>
  <si>
    <t xml:space="preserve">ups online</t>
  </si>
  <si>
    <t xml:space="preserve">Frase</t>
  </si>
  <si>
    <t xml:space="preserve">ups 3000va</t>
  </si>
  <si>
    <t xml:space="preserve">ups online 3kva</t>
  </si>
  <si>
    <t xml:space="preserve">ups 3kva 220v</t>
  </si>
  <si>
    <t xml:space="preserve">ups 3kva monofasica</t>
  </si>
  <si>
    <t xml:space="preserve">precio ups 3kva</t>
  </si>
  <si>
    <t xml:space="preserve">ups para servidor</t>
  </si>
  <si>
    <t xml:space="preserve">ups para rack</t>
  </si>
  <si>
    <t xml:space="preserve">ups 6kva</t>
  </si>
  <si>
    <t xml:space="preserve">https://netpowerit.co/producto/ups-online-bifasica-sat-uol600</t>
  </si>
  <si>
    <t xml:space="preserve">ups industrial</t>
  </si>
  <si>
    <t xml:space="preserve">ups 10kva</t>
  </si>
  <si>
    <t xml:space="preserve">ups trifasica</t>
  </si>
  <si>
    <t xml:space="preserve">ups bifasica</t>
  </si>
  <si>
    <t xml:space="preserve">ups bifasica 6kva</t>
  </si>
  <si>
    <t xml:space="preserve">ups 6kva precio</t>
  </si>
  <si>
    <t xml:space="preserve">ups 6kva trifasica</t>
  </si>
  <si>
    <t xml:space="preserve">TOTAL</t>
  </si>
  <si>
    <t xml:space="preserve">17 keywords. Los topes de CPC subieron respecto del plan anterior: con presupuesto de sobra, un tope bajo solo sirve para perder subastas. El tope no es lo que vas a pagar, es el máximo que estás dispuesto a pagar. Con ticket de $1.700.000 y $4.700.000, $3.000 por clic sigue siendo barato.</t>
  </si>
  <si>
    <t xml:space="preserve">Cuándo</t>
  </si>
  <si>
    <t xml:space="preserve">Qué mirar</t>
  </si>
  <si>
    <t xml:space="preserve">Qué hacer si está mal</t>
  </si>
  <si>
    <t xml:space="preserve">Día 3</t>
  </si>
  <si>
    <t xml:space="preserve">Términos de búsqueda reales, uno por uno</t>
  </si>
  <si>
    <t xml:space="preserve">Agregar como negativa todo lo que no sea un comprador. Es lo único urgente de la primera semana</t>
  </si>
  <si>
    <t xml:space="preserve">Que la conversión esté registrando</t>
  </si>
  <si>
    <t xml:space="preserve">Si a 3 días no hay ni un evento con tráfico, la medición está rota. Parar y revisar antes de seguir gastando</t>
  </si>
  <si>
    <t xml:space="preserve">Semana 1</t>
  </si>
  <si>
    <t xml:space="preserve">Cuota de impresiones por keyword</t>
  </si>
  <si>
    <t xml:space="preserve">Si está por debajo de 70%, subir el tope de CPC. Hay presupuesto</t>
  </si>
  <si>
    <t xml:space="preserve">CTR por grupo</t>
  </si>
  <si>
    <t xml:space="preserve">Por debajo de 4%, el anuncio no coincide con la búsqueda. Reescribir títulos con la keyword literal</t>
  </si>
  <si>
    <t xml:space="preserve">Semana 2</t>
  </si>
  <si>
    <t xml:space="preserve">Porcentaje de rebote de la ficha</t>
  </si>
  <si>
    <t xml:space="preserve">Por encima de 80% con más de 20 clics: el problema es la página, no la campaña</t>
  </si>
  <si>
    <t xml:space="preserve">'ups online' en particular</t>
  </si>
  <si>
    <t xml:space="preserve">Ubersuggest la marca navegacional. Si sus términos de búsqueda son de paquetería o informativos, pausarla</t>
  </si>
  <si>
    <t xml:space="preserve">Mes 1</t>
  </si>
  <si>
    <t xml:space="preserve">Costo por cotización</t>
  </si>
  <si>
    <t xml:space="preserve">Con ticket de millones, hasta $150.000 por cotización sigue siendo razonable. Por encima, revisar</t>
  </si>
  <si>
    <t xml:space="preserve">Móvil contra escritorio</t>
  </si>
  <si>
    <t xml:space="preserve">Si móvil trae clics y cero cotizaciones, bajar la puja de móvil</t>
  </si>
  <si>
    <t xml:space="preserve">Mes 2</t>
  </si>
  <si>
    <t xml:space="preserve">Si ya hay 15 conversiones o más</t>
  </si>
  <si>
    <t xml:space="preserve">Recién ahí tiene sentido probar puja automática. Antes no: no hay con qué aprender</t>
  </si>
  <si>
    <t xml:space="preserve">Mes 3</t>
  </si>
  <si>
    <t xml:space="preserve">Cierre del bono</t>
  </si>
  <si>
    <t xml:space="preserve">Armar el reporte para SAT con clics, cotizaciones y ventas atribuidas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</si>
</sst>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General"/>
    <numFmt numFmtId="167" formatCode="\$#,##0"/>
    <numFmt numFmtId="168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94"/>
  </cols>
  <sheetData>
    <row r="1" customFormat="false" ht="17.25" hidden="false" customHeight="true" outlineLevel="0" collapsed="false">
      <c r="A1" s="2" t="s">
        <v>0</v>
      </c>
      <c r="B1" s="2"/>
    </row>
    <row r="3" customFormat="false" ht="31.5" hidden="false" customHeight="true" outlineLevel="0" collapsed="false">
      <c r="A3" s="3" t="s">
        <v>1</v>
      </c>
      <c r="B3" s="4" t="s">
        <v>2</v>
      </c>
    </row>
    <row r="4" customFormat="false" ht="31.5" hidden="false" customHeight="true" outlineLevel="0" collapsed="false">
      <c r="A4" s="3" t="s">
        <v>3</v>
      </c>
      <c r="B4" s="4" t="s">
        <v>4</v>
      </c>
    </row>
    <row r="5" customFormat="false" ht="31.5" hidden="false" customHeight="true" outlineLevel="0" collapsed="false">
      <c r="A5" s="3" t="s">
        <v>5</v>
      </c>
      <c r="B5" s="4" t="s">
        <v>6</v>
      </c>
    </row>
    <row r="6" customFormat="false" ht="31.5" hidden="false" customHeight="true" outlineLevel="0" collapsed="false">
      <c r="A6" s="3" t="s">
        <v>7</v>
      </c>
      <c r="B6" s="4" t="s">
        <v>8</v>
      </c>
    </row>
    <row r="7" customFormat="false" ht="31.5" hidden="false" customHeight="true" outlineLevel="0" collapsed="false">
      <c r="A7" s="3" t="s">
        <v>9</v>
      </c>
      <c r="B7" s="4" t="s">
        <v>10</v>
      </c>
    </row>
    <row r="8" customFormat="false" ht="31.5" hidden="false" customHeight="true" outlineLevel="0" collapsed="false">
      <c r="A8" s="3" t="s">
        <v>11</v>
      </c>
      <c r="B8" s="4" t="s">
        <v>12</v>
      </c>
    </row>
    <row r="9" customFormat="false" ht="31.5" hidden="false" customHeight="true" outlineLevel="0" collapsed="false">
      <c r="A9" s="3" t="s">
        <v>13</v>
      </c>
      <c r="B9" s="4" t="s">
        <v>14</v>
      </c>
    </row>
    <row r="10" customFormat="false" ht="31.5" hidden="false" customHeight="true" outlineLevel="0" collapsed="false">
      <c r="A10" s="3" t="s">
        <v>15</v>
      </c>
      <c r="B10" s="4" t="s">
        <v>16</v>
      </c>
    </row>
    <row r="11" customFormat="false" ht="31.5" hidden="false" customHeight="true" outlineLevel="0" collapsed="false">
      <c r="A11" s="3" t="s">
        <v>17</v>
      </c>
      <c r="B11" s="4" t="s">
        <v>18</v>
      </c>
    </row>
    <row r="12" customFormat="false" ht="31.5" hidden="false" customHeight="true" outlineLevel="0" collapsed="false">
      <c r="A12" s="3" t="s">
        <v>19</v>
      </c>
      <c r="B12" s="4" t="s">
        <v>20</v>
      </c>
    </row>
    <row r="13" customFormat="false" ht="31.5" hidden="false" customHeight="true" outlineLevel="0" collapsed="false">
      <c r="A13" s="3" t="s">
        <v>21</v>
      </c>
      <c r="B13" s="4" t="s">
        <v>22</v>
      </c>
    </row>
    <row r="14" customFormat="false" ht="31.5" hidden="false" customHeight="true" outlineLevel="0" collapsed="false">
      <c r="A14" s="3" t="s">
        <v>23</v>
      </c>
      <c r="B14" s="4" t="s">
        <v>24</v>
      </c>
    </row>
    <row r="15" customFormat="false" ht="31.5" hidden="false" customHeight="true" outlineLevel="0" collapsed="false">
      <c r="A15" s="3" t="s">
        <v>25</v>
      </c>
      <c r="B15" s="4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8"/>
    <col collapsed="false" customWidth="true" hidden="false" outlineLevel="0" max="4" min="4" style="1" width="38"/>
  </cols>
  <sheetData>
    <row r="1" customFormat="false" ht="15.75" hidden="false" customHeight="true" outlineLevel="0" collapsed="false">
      <c r="A1" s="5" t="s">
        <v>27</v>
      </c>
    </row>
    <row r="3" customFormat="false" ht="15" hidden="false" customHeight="true" outlineLevel="0" collapsed="false">
      <c r="A3" s="6"/>
      <c r="B3" s="6" t="s">
        <v>28</v>
      </c>
      <c r="C3" s="6" t="s">
        <v>29</v>
      </c>
      <c r="D3" s="6" t="s">
        <v>30</v>
      </c>
    </row>
    <row r="4" customFormat="false" ht="24" hidden="false" customHeight="true" outlineLevel="0" collapsed="false">
      <c r="A4" s="7" t="s">
        <v>31</v>
      </c>
      <c r="B4" s="8" t="n">
        <v>1250</v>
      </c>
      <c r="C4" s="8" t="n">
        <v>510</v>
      </c>
      <c r="D4" s="9" t="s">
        <v>32</v>
      </c>
    </row>
    <row r="5" customFormat="false" ht="24" hidden="false" customHeight="true" outlineLevel="0" collapsed="false">
      <c r="A5" s="7" t="s">
        <v>33</v>
      </c>
      <c r="B5" s="10" t="n">
        <v>0.45</v>
      </c>
      <c r="C5" s="10" t="n">
        <v>0.45</v>
      </c>
      <c r="D5" s="9" t="s">
        <v>34</v>
      </c>
    </row>
    <row r="6" customFormat="false" ht="24" hidden="false" customHeight="true" outlineLevel="0" collapsed="false">
      <c r="A6" s="7" t="s">
        <v>35</v>
      </c>
      <c r="B6" s="10" t="n">
        <v>0.85</v>
      </c>
      <c r="C6" s="10" t="n">
        <v>0.85</v>
      </c>
      <c r="D6" s="9" t="s">
        <v>36</v>
      </c>
    </row>
    <row r="7" customFormat="false" ht="24" hidden="false" customHeight="true" outlineLevel="0" collapsed="false">
      <c r="A7" s="7" t="s">
        <v>37</v>
      </c>
      <c r="B7" s="10" t="n">
        <v>0.1</v>
      </c>
      <c r="C7" s="10" t="n">
        <v>0.1</v>
      </c>
      <c r="D7" s="9" t="s">
        <v>38</v>
      </c>
    </row>
    <row r="8" customFormat="false" ht="24" hidden="false" customHeight="true" outlineLevel="0" collapsed="false">
      <c r="A8" s="7" t="s">
        <v>39</v>
      </c>
      <c r="B8" s="11" t="n">
        <f aca="false">ROUND(B4*B5*B6*B7,0)</f>
        <v>48</v>
      </c>
      <c r="C8" s="11" t="n">
        <f aca="false">ROUND(C4*C5*C6*C7,0)</f>
        <v>20</v>
      </c>
      <c r="D8" s="9"/>
    </row>
    <row r="9" customFormat="false" ht="24" hidden="false" customHeight="true" outlineLevel="0" collapsed="false">
      <c r="A9" s="7" t="s">
        <v>40</v>
      </c>
      <c r="B9" s="12" t="n">
        <v>1500</v>
      </c>
      <c r="C9" s="12" t="n">
        <v>2000</v>
      </c>
      <c r="D9" s="9" t="s">
        <v>41</v>
      </c>
    </row>
    <row r="10" customFormat="false" ht="24" hidden="false" customHeight="true" outlineLevel="0" collapsed="false">
      <c r="A10" s="7" t="s">
        <v>42</v>
      </c>
      <c r="B10" s="13" t="n">
        <f aca="false">ROUND(B8*B9,0)</f>
        <v>72000</v>
      </c>
      <c r="C10" s="13" t="n">
        <f aca="false">ROUND(C8*C9,0)</f>
        <v>40000</v>
      </c>
      <c r="D10" s="9"/>
    </row>
    <row r="11" customFormat="false" ht="24" hidden="false" customHeight="true" outlineLevel="0" collapsed="false">
      <c r="A11" s="7" t="s">
        <v>43</v>
      </c>
      <c r="B11" s="8" t="n">
        <v>2.7</v>
      </c>
      <c r="C11" s="8" t="n">
        <v>2.7</v>
      </c>
      <c r="D11" s="9" t="s">
        <v>44</v>
      </c>
    </row>
    <row r="12" customFormat="false" ht="24" hidden="false" customHeight="true" outlineLevel="0" collapsed="false">
      <c r="A12" s="7" t="s">
        <v>45</v>
      </c>
      <c r="B12" s="11" t="n">
        <f aca="false">B8*B11</f>
        <v>129.6</v>
      </c>
      <c r="C12" s="11" t="n">
        <f aca="false">C8*C11</f>
        <v>54</v>
      </c>
      <c r="D12" s="9"/>
    </row>
    <row r="13" customFormat="false" ht="24" hidden="false" customHeight="true" outlineLevel="0" collapsed="false">
      <c r="A13" s="7" t="s">
        <v>46</v>
      </c>
      <c r="B13" s="13" t="n">
        <f aca="false">B10*B11</f>
        <v>194400</v>
      </c>
      <c r="C13" s="13" t="n">
        <f aca="false">C10*C11</f>
        <v>108000</v>
      </c>
      <c r="D13" s="9"/>
    </row>
    <row r="14" customFormat="false" ht="24" hidden="false" customHeight="true" outlineLevel="0" collapsed="false">
      <c r="A14" s="7" t="s">
        <v>47</v>
      </c>
      <c r="B14" s="8" t="n">
        <v>0.03</v>
      </c>
      <c r="C14" s="8" t="n">
        <v>0.03</v>
      </c>
      <c r="D14" s="9" t="s">
        <v>48</v>
      </c>
    </row>
    <row r="15" customFormat="false" ht="24" hidden="false" customHeight="true" outlineLevel="0" collapsed="false">
      <c r="A15" s="7" t="s">
        <v>49</v>
      </c>
      <c r="B15" s="14" t="n">
        <f aca="false">ROUND(B12*B14,1)</f>
        <v>3.9</v>
      </c>
      <c r="C15" s="14" t="n">
        <f aca="false">ROUND(C12*C14,1)</f>
        <v>1.6</v>
      </c>
      <c r="D15" s="9"/>
    </row>
    <row r="16" customFormat="false" ht="24" hidden="false" customHeight="true" outlineLevel="0" collapsed="false">
      <c r="A16" s="7" t="s">
        <v>50</v>
      </c>
      <c r="B16" s="8" t="n">
        <v>0.25</v>
      </c>
      <c r="C16" s="8" t="n">
        <v>0.2</v>
      </c>
      <c r="D16" s="9" t="s">
        <v>48</v>
      </c>
    </row>
    <row r="17" customFormat="false" ht="24" hidden="false" customHeight="true" outlineLevel="0" collapsed="false">
      <c r="A17" s="7" t="s">
        <v>51</v>
      </c>
      <c r="B17" s="14" t="n">
        <f aca="false">ROUND(B15*B16,2)</f>
        <v>0.98</v>
      </c>
      <c r="C17" s="14" t="n">
        <f aca="false">ROUND(C15*C16,2)</f>
        <v>0.32</v>
      </c>
      <c r="D17" s="9"/>
    </row>
    <row r="18" customFormat="false" ht="24" hidden="false" customHeight="true" outlineLevel="0" collapsed="false">
      <c r="A18" s="7" t="s">
        <v>52</v>
      </c>
      <c r="B18" s="12" t="n">
        <v>1700000</v>
      </c>
      <c r="C18" s="12" t="n">
        <v>4700000</v>
      </c>
      <c r="D18" s="9" t="s">
        <v>53</v>
      </c>
    </row>
    <row r="19" customFormat="false" ht="24" hidden="false" customHeight="true" outlineLevel="0" collapsed="false">
      <c r="A19" s="7" t="s">
        <v>54</v>
      </c>
      <c r="B19" s="13" t="n">
        <f aca="false">ROUND(B17*B18,0)</f>
        <v>1666000</v>
      </c>
      <c r="C19" s="13" t="n">
        <f aca="false">ROUND(C17*C18,0)</f>
        <v>1504000</v>
      </c>
      <c r="D19" s="9" t="s">
        <v>55</v>
      </c>
    </row>
    <row r="21" customFormat="false" ht="15" hidden="false" customHeight="true" outlineLevel="0" collapsed="false">
      <c r="A21" s="15" t="s">
        <v>56</v>
      </c>
      <c r="B21" s="16" t="n">
        <f aca="false">B13+C13</f>
        <v>302400</v>
      </c>
    </row>
    <row r="22" customFormat="false" ht="15" hidden="false" customHeight="true" outlineLevel="0" collapsed="false">
      <c r="A22" s="15" t="s">
        <v>57</v>
      </c>
      <c r="B22" s="17" t="n">
        <f aca="false">300000-B21</f>
        <v>-2400</v>
      </c>
    </row>
    <row r="23" customFormat="false" ht="15" hidden="false" customHeight="true" outlineLevel="0" collapsed="false">
      <c r="A23" s="15" t="s">
        <v>49</v>
      </c>
      <c r="B23" s="18" t="n">
        <f aca="false">B15+C15</f>
        <v>5.5</v>
      </c>
    </row>
    <row r="25" customFormat="false" ht="30" hidden="false" customHeight="true" outlineLevel="0" collapsed="false">
      <c r="A25" s="19" t="s">
        <v>58</v>
      </c>
      <c r="B25" s="19"/>
      <c r="C25" s="19"/>
      <c r="D25" s="19"/>
    </row>
  </sheetData>
  <mergeCells count="1"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42"/>
    <col collapsed="false" customWidth="true" hidden="false" outlineLevel="0" max="4" min="4" style="1" width="44"/>
  </cols>
  <sheetData>
    <row r="1" customFormat="false" ht="15" hidden="false" customHeight="true" outlineLevel="0" collapsed="false">
      <c r="A1" s="20" t="s">
        <v>59</v>
      </c>
      <c r="B1" s="20" t="s">
        <v>60</v>
      </c>
      <c r="C1" s="20" t="s">
        <v>61</v>
      </c>
      <c r="D1" s="20" t="s">
        <v>62</v>
      </c>
    </row>
    <row r="2" customFormat="false" ht="23.25" hidden="false" customHeight="true" outlineLevel="0" collapsed="false">
      <c r="A2" s="4" t="s">
        <v>63</v>
      </c>
      <c r="B2" s="4" t="s">
        <v>64</v>
      </c>
      <c r="C2" s="4" t="s">
        <v>65</v>
      </c>
      <c r="D2" s="4" t="s">
        <v>66</v>
      </c>
    </row>
    <row r="3" customFormat="false" ht="23.25" hidden="false" customHeight="true" outlineLevel="0" collapsed="false">
      <c r="A3" s="4" t="s">
        <v>63</v>
      </c>
      <c r="B3" s="4" t="s">
        <v>67</v>
      </c>
      <c r="C3" s="4" t="s">
        <v>68</v>
      </c>
      <c r="D3" s="4" t="s">
        <v>69</v>
      </c>
    </row>
    <row r="4" customFormat="false" ht="15" hidden="false" customHeight="true" outlineLevel="0" collapsed="false">
      <c r="A4" s="4" t="s">
        <v>63</v>
      </c>
      <c r="B4" s="4" t="s">
        <v>70</v>
      </c>
      <c r="C4" s="4" t="s">
        <v>71</v>
      </c>
      <c r="D4" s="4" t="s">
        <v>72</v>
      </c>
    </row>
    <row r="5" customFormat="false" ht="23.25" hidden="false" customHeight="true" outlineLevel="0" collapsed="false">
      <c r="A5" s="4" t="s">
        <v>63</v>
      </c>
      <c r="B5" s="4" t="s">
        <v>73</v>
      </c>
      <c r="C5" s="4" t="s">
        <v>74</v>
      </c>
      <c r="D5" s="4" t="s">
        <v>75</v>
      </c>
    </row>
    <row r="6" customFormat="false" ht="15" hidden="false" customHeight="true" outlineLevel="0" collapsed="false">
      <c r="A6" s="4" t="s">
        <v>76</v>
      </c>
      <c r="B6" s="4" t="s">
        <v>77</v>
      </c>
      <c r="C6" s="4"/>
      <c r="D6" s="4" t="s">
        <v>78</v>
      </c>
    </row>
    <row r="7" customFormat="false" ht="15" hidden="false" customHeight="true" outlineLevel="0" collapsed="false">
      <c r="A7" s="4" t="s">
        <v>76</v>
      </c>
      <c r="B7" s="4" t="s">
        <v>79</v>
      </c>
      <c r="C7" s="4"/>
      <c r="D7" s="4" t="s">
        <v>80</v>
      </c>
    </row>
    <row r="8" customFormat="false" ht="15" hidden="false" customHeight="true" outlineLevel="0" collapsed="false">
      <c r="A8" s="4" t="s">
        <v>76</v>
      </c>
      <c r="B8" s="4" t="s">
        <v>81</v>
      </c>
      <c r="C8" s="4"/>
      <c r="D8" s="4" t="s">
        <v>82</v>
      </c>
    </row>
    <row r="9" customFormat="false" ht="23.25" hidden="false" customHeight="true" outlineLevel="0" collapsed="false">
      <c r="A9" s="4" t="s">
        <v>76</v>
      </c>
      <c r="B9" s="4" t="s">
        <v>83</v>
      </c>
      <c r="C9" s="4"/>
      <c r="D9" s="4" t="s">
        <v>84</v>
      </c>
    </row>
    <row r="10" customFormat="false" ht="15" hidden="false" customHeight="true" outlineLevel="0" collapsed="false">
      <c r="A10" s="4" t="s">
        <v>76</v>
      </c>
      <c r="B10" s="4" t="s">
        <v>85</v>
      </c>
      <c r="C10" s="4"/>
      <c r="D10" s="4" t="s">
        <v>86</v>
      </c>
    </row>
    <row r="11" customFormat="false" ht="15" hidden="false" customHeight="true" outlineLevel="0" collapsed="false">
      <c r="A11" s="4" t="s">
        <v>87</v>
      </c>
      <c r="B11" s="4" t="s">
        <v>88</v>
      </c>
      <c r="C11" s="4" t="s">
        <v>89</v>
      </c>
      <c r="D11" s="4" t="s">
        <v>90</v>
      </c>
    </row>
    <row r="12" customFormat="false" ht="15" hidden="false" customHeight="true" outlineLevel="0" collapsed="false">
      <c r="A12" s="4" t="s">
        <v>87</v>
      </c>
      <c r="B12" s="4" t="s">
        <v>91</v>
      </c>
      <c r="C12" s="4" t="s">
        <v>92</v>
      </c>
      <c r="D12" s="4" t="s">
        <v>93</v>
      </c>
    </row>
    <row r="13" customFormat="false" ht="23.25" hidden="false" customHeight="true" outlineLevel="0" collapsed="false">
      <c r="A13" s="4" t="s">
        <v>94</v>
      </c>
      <c r="B13" s="4" t="s">
        <v>95</v>
      </c>
      <c r="C13" s="4" t="s">
        <v>96</v>
      </c>
      <c r="D13" s="4" t="s">
        <v>97</v>
      </c>
    </row>
    <row r="14" customFormat="false" ht="23.25" hidden="false" customHeight="true" outlineLevel="0" collapsed="false">
      <c r="A14" s="4" t="s">
        <v>15</v>
      </c>
      <c r="B14" s="4" t="s">
        <v>98</v>
      </c>
      <c r="C14" s="4" t="s">
        <v>99</v>
      </c>
      <c r="D14" s="4" t="s">
        <v>100</v>
      </c>
    </row>
    <row r="15" customFormat="false" ht="15" hidden="false" customHeight="true" outlineLevel="0" collapsed="false">
      <c r="A15" s="4" t="s">
        <v>101</v>
      </c>
      <c r="B15" s="4" t="s">
        <v>102</v>
      </c>
      <c r="C15" s="4" t="s">
        <v>103</v>
      </c>
      <c r="D15" s="4" t="s">
        <v>104</v>
      </c>
    </row>
    <row r="17" customFormat="false" ht="33.75" hidden="false" customHeight="true" outlineLevel="0" collapsed="false">
      <c r="A17" s="21" t="s">
        <v>105</v>
      </c>
      <c r="B17" s="21"/>
      <c r="C17" s="21"/>
      <c r="D17" s="21"/>
    </row>
  </sheetData>
  <mergeCells count="1"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46"/>
  </cols>
  <sheetData>
    <row r="1" customFormat="false" ht="23.25" hidden="false" customHeight="true" outlineLevel="0" collapsed="false">
      <c r="A1" s="20" t="s">
        <v>106</v>
      </c>
      <c r="B1" s="20" t="s">
        <v>107</v>
      </c>
      <c r="C1" s="20" t="s">
        <v>23</v>
      </c>
      <c r="D1" s="20" t="s">
        <v>108</v>
      </c>
      <c r="E1" s="20" t="s">
        <v>109</v>
      </c>
      <c r="F1" s="20" t="s">
        <v>110</v>
      </c>
    </row>
    <row r="2" customFormat="false" ht="23.25" hidden="false" customHeight="true" outlineLevel="0" collapsed="false">
      <c r="A2" s="22" t="s">
        <v>28</v>
      </c>
      <c r="B2" s="22" t="s">
        <v>111</v>
      </c>
      <c r="C2" s="22" t="s">
        <v>112</v>
      </c>
      <c r="D2" s="22" t="n">
        <v>390</v>
      </c>
      <c r="E2" s="23" t="n">
        <v>3000</v>
      </c>
      <c r="F2" s="22" t="s">
        <v>65</v>
      </c>
    </row>
    <row r="3" customFormat="false" ht="23.25" hidden="false" customHeight="true" outlineLevel="0" collapsed="false">
      <c r="A3" s="22" t="s">
        <v>28</v>
      </c>
      <c r="B3" s="22" t="s">
        <v>113</v>
      </c>
      <c r="C3" s="22" t="s">
        <v>114</v>
      </c>
      <c r="D3" s="22" t="n">
        <v>260</v>
      </c>
      <c r="E3" s="23" t="n">
        <v>2200</v>
      </c>
      <c r="F3" s="22" t="s">
        <v>65</v>
      </c>
    </row>
    <row r="4" customFormat="false" ht="23.25" hidden="false" customHeight="true" outlineLevel="0" collapsed="false">
      <c r="A4" s="22" t="s">
        <v>28</v>
      </c>
      <c r="B4" s="22" t="s">
        <v>115</v>
      </c>
      <c r="C4" s="22" t="s">
        <v>112</v>
      </c>
      <c r="D4" s="22" t="n">
        <v>90</v>
      </c>
      <c r="E4" s="23" t="n">
        <v>2500</v>
      </c>
      <c r="F4" s="22" t="s">
        <v>65</v>
      </c>
    </row>
    <row r="5" customFormat="false" ht="23.25" hidden="false" customHeight="true" outlineLevel="0" collapsed="false">
      <c r="A5" s="22" t="s">
        <v>28</v>
      </c>
      <c r="B5" s="22" t="s">
        <v>116</v>
      </c>
      <c r="C5" s="22" t="s">
        <v>112</v>
      </c>
      <c r="D5" s="22" t="n">
        <v>70</v>
      </c>
      <c r="E5" s="23" t="n">
        <v>2500</v>
      </c>
      <c r="F5" s="22" t="s">
        <v>65</v>
      </c>
    </row>
    <row r="6" customFormat="false" ht="23.25" hidden="false" customHeight="true" outlineLevel="0" collapsed="false">
      <c r="A6" s="22" t="s">
        <v>28</v>
      </c>
      <c r="B6" s="22" t="s">
        <v>117</v>
      </c>
      <c r="C6" s="22" t="s">
        <v>112</v>
      </c>
      <c r="D6" s="22" t="n">
        <v>50</v>
      </c>
      <c r="E6" s="23" t="n">
        <v>2500</v>
      </c>
      <c r="F6" s="22" t="s">
        <v>65</v>
      </c>
    </row>
    <row r="7" customFormat="false" ht="23.25" hidden="false" customHeight="true" outlineLevel="0" collapsed="false">
      <c r="A7" s="22" t="s">
        <v>28</v>
      </c>
      <c r="B7" s="22" t="s">
        <v>118</v>
      </c>
      <c r="C7" s="22" t="s">
        <v>112</v>
      </c>
      <c r="D7" s="22" t="n">
        <v>40</v>
      </c>
      <c r="E7" s="23" t="n">
        <v>2500</v>
      </c>
      <c r="F7" s="22" t="s">
        <v>65</v>
      </c>
    </row>
    <row r="8" customFormat="false" ht="23.25" hidden="false" customHeight="true" outlineLevel="0" collapsed="false">
      <c r="A8" s="22" t="s">
        <v>28</v>
      </c>
      <c r="B8" s="22" t="s">
        <v>119</v>
      </c>
      <c r="C8" s="22" t="s">
        <v>112</v>
      </c>
      <c r="D8" s="22" t="n">
        <v>30</v>
      </c>
      <c r="E8" s="23" t="n">
        <v>2500</v>
      </c>
      <c r="F8" s="22" t="s">
        <v>65</v>
      </c>
    </row>
    <row r="9" customFormat="false" ht="23.25" hidden="false" customHeight="true" outlineLevel="0" collapsed="false">
      <c r="A9" s="22" t="s">
        <v>28</v>
      </c>
      <c r="B9" s="22" t="s">
        <v>120</v>
      </c>
      <c r="C9" s="22" t="s">
        <v>114</v>
      </c>
      <c r="D9" s="22" t="n">
        <v>30</v>
      </c>
      <c r="E9" s="23" t="n">
        <v>2500</v>
      </c>
      <c r="F9" s="22" t="s">
        <v>65</v>
      </c>
    </row>
    <row r="10" customFormat="false" ht="23.25" hidden="false" customHeight="true" outlineLevel="0" collapsed="false">
      <c r="A10" s="22" t="s">
        <v>28</v>
      </c>
      <c r="B10" s="22" t="s">
        <v>121</v>
      </c>
      <c r="C10" s="22" t="s">
        <v>114</v>
      </c>
      <c r="D10" s="22" t="n">
        <v>30</v>
      </c>
      <c r="E10" s="23" t="n">
        <v>2200</v>
      </c>
      <c r="F10" s="22" t="s">
        <v>65</v>
      </c>
    </row>
    <row r="11" customFormat="false" ht="23.25" hidden="false" customHeight="true" outlineLevel="0" collapsed="false">
      <c r="A11" s="24" t="s">
        <v>29</v>
      </c>
      <c r="B11" s="24" t="s">
        <v>122</v>
      </c>
      <c r="C11" s="24" t="s">
        <v>112</v>
      </c>
      <c r="D11" s="24" t="n">
        <v>140</v>
      </c>
      <c r="E11" s="25" t="n">
        <v>4000</v>
      </c>
      <c r="F11" s="24" t="s">
        <v>123</v>
      </c>
    </row>
    <row r="12" customFormat="false" ht="23.25" hidden="false" customHeight="true" outlineLevel="0" collapsed="false">
      <c r="A12" s="24" t="s">
        <v>29</v>
      </c>
      <c r="B12" s="24" t="s">
        <v>124</v>
      </c>
      <c r="C12" s="24" t="s">
        <v>114</v>
      </c>
      <c r="D12" s="24" t="n">
        <v>110</v>
      </c>
      <c r="E12" s="25" t="n">
        <v>2500</v>
      </c>
      <c r="F12" s="24" t="s">
        <v>123</v>
      </c>
    </row>
    <row r="13" customFormat="false" ht="23.25" hidden="false" customHeight="true" outlineLevel="0" collapsed="false">
      <c r="A13" s="24" t="s">
        <v>29</v>
      </c>
      <c r="B13" s="24" t="s">
        <v>125</v>
      </c>
      <c r="C13" s="24" t="s">
        <v>112</v>
      </c>
      <c r="D13" s="24" t="n">
        <v>110</v>
      </c>
      <c r="E13" s="25" t="n">
        <v>2500</v>
      </c>
      <c r="F13" s="24" t="s">
        <v>123</v>
      </c>
    </row>
    <row r="14" customFormat="false" ht="23.25" hidden="false" customHeight="true" outlineLevel="0" collapsed="false">
      <c r="A14" s="24" t="s">
        <v>29</v>
      </c>
      <c r="B14" s="24" t="s">
        <v>126</v>
      </c>
      <c r="C14" s="24" t="s">
        <v>114</v>
      </c>
      <c r="D14" s="24" t="n">
        <v>70</v>
      </c>
      <c r="E14" s="25" t="n">
        <v>2200</v>
      </c>
      <c r="F14" s="24" t="s">
        <v>123</v>
      </c>
    </row>
    <row r="15" customFormat="false" ht="23.25" hidden="false" customHeight="true" outlineLevel="0" collapsed="false">
      <c r="A15" s="24" t="s">
        <v>29</v>
      </c>
      <c r="B15" s="24" t="s">
        <v>127</v>
      </c>
      <c r="C15" s="24" t="s">
        <v>114</v>
      </c>
      <c r="D15" s="24" t="n">
        <v>30</v>
      </c>
      <c r="E15" s="25" t="n">
        <v>3000</v>
      </c>
      <c r="F15" s="24" t="s">
        <v>123</v>
      </c>
    </row>
    <row r="16" customFormat="false" ht="23.25" hidden="false" customHeight="true" outlineLevel="0" collapsed="false">
      <c r="A16" s="24" t="s">
        <v>29</v>
      </c>
      <c r="B16" s="24" t="s">
        <v>128</v>
      </c>
      <c r="C16" s="24" t="s">
        <v>112</v>
      </c>
      <c r="D16" s="24" t="n">
        <v>20</v>
      </c>
      <c r="E16" s="25" t="n">
        <v>3500</v>
      </c>
      <c r="F16" s="24" t="s">
        <v>123</v>
      </c>
    </row>
    <row r="17" customFormat="false" ht="23.25" hidden="false" customHeight="true" outlineLevel="0" collapsed="false">
      <c r="A17" s="24" t="s">
        <v>29</v>
      </c>
      <c r="B17" s="24" t="s">
        <v>129</v>
      </c>
      <c r="C17" s="24" t="s">
        <v>112</v>
      </c>
      <c r="D17" s="24" t="n">
        <v>20</v>
      </c>
      <c r="E17" s="25" t="n">
        <v>3000</v>
      </c>
      <c r="F17" s="24" t="s">
        <v>123</v>
      </c>
    </row>
    <row r="18" customFormat="false" ht="23.25" hidden="false" customHeight="true" outlineLevel="0" collapsed="false">
      <c r="A18" s="24" t="s">
        <v>29</v>
      </c>
      <c r="B18" s="24" t="s">
        <v>130</v>
      </c>
      <c r="C18" s="24" t="s">
        <v>112</v>
      </c>
      <c r="D18" s="24" t="n">
        <v>10</v>
      </c>
      <c r="E18" s="25" t="n">
        <v>3000</v>
      </c>
      <c r="F18" s="24" t="s">
        <v>123</v>
      </c>
    </row>
    <row r="19" customFormat="false" ht="15" hidden="false" customHeight="true" outlineLevel="0" collapsed="false">
      <c r="C19" s="26" t="s">
        <v>131</v>
      </c>
      <c r="D19" s="26" t="n">
        <f aca="false">SUM(D2:D18)</f>
        <v>1500</v>
      </c>
    </row>
    <row r="21" customFormat="false" ht="42" hidden="false" customHeight="true" outlineLevel="0" collapsed="false">
      <c r="A21" s="19" t="s">
        <v>132</v>
      </c>
      <c r="B21" s="19"/>
      <c r="C21" s="19"/>
      <c r="D21" s="19"/>
      <c r="E21" s="19"/>
      <c r="F21" s="19"/>
    </row>
  </sheetData>
  <mergeCells count="1"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6"/>
    <col collapsed="false" customWidth="true" hidden="false" outlineLevel="0" max="3" min="3" style="1" width="58"/>
  </cols>
  <sheetData>
    <row r="1" customFormat="false" ht="15" hidden="false" customHeight="true" outlineLevel="0" collapsed="false">
      <c r="A1" s="20" t="s">
        <v>133</v>
      </c>
      <c r="B1" s="20" t="s">
        <v>134</v>
      </c>
      <c r="C1" s="20" t="s">
        <v>135</v>
      </c>
    </row>
    <row r="2" customFormat="false" ht="23.25" hidden="false" customHeight="true" outlineLevel="0" collapsed="false">
      <c r="A2" s="27" t="s">
        <v>136</v>
      </c>
      <c r="B2" s="27" t="s">
        <v>137</v>
      </c>
      <c r="C2" s="27" t="s">
        <v>138</v>
      </c>
    </row>
    <row r="3" customFormat="false" ht="23.25" hidden="false" customHeight="true" outlineLevel="0" collapsed="false">
      <c r="A3" s="27" t="s">
        <v>136</v>
      </c>
      <c r="B3" s="27" t="s">
        <v>139</v>
      </c>
      <c r="C3" s="27" t="s">
        <v>140</v>
      </c>
    </row>
    <row r="4" customFormat="false" ht="15" hidden="false" customHeight="true" outlineLevel="0" collapsed="false">
      <c r="A4" s="4" t="s">
        <v>141</v>
      </c>
      <c r="B4" s="4" t="s">
        <v>142</v>
      </c>
      <c r="C4" s="4" t="s">
        <v>143</v>
      </c>
    </row>
    <row r="5" customFormat="false" ht="23.25" hidden="false" customHeight="true" outlineLevel="0" collapsed="false">
      <c r="A5" s="4" t="s">
        <v>141</v>
      </c>
      <c r="B5" s="4" t="s">
        <v>144</v>
      </c>
      <c r="C5" s="4" t="s">
        <v>145</v>
      </c>
    </row>
    <row r="6" customFormat="false" ht="23.25" hidden="false" customHeight="true" outlineLevel="0" collapsed="false">
      <c r="A6" s="4" t="s">
        <v>146</v>
      </c>
      <c r="B6" s="4" t="s">
        <v>147</v>
      </c>
      <c r="C6" s="4" t="s">
        <v>148</v>
      </c>
    </row>
    <row r="7" customFormat="false" ht="23.25" hidden="false" customHeight="true" outlineLevel="0" collapsed="false">
      <c r="A7" s="4" t="s">
        <v>146</v>
      </c>
      <c r="B7" s="4" t="s">
        <v>149</v>
      </c>
      <c r="C7" s="4" t="s">
        <v>150</v>
      </c>
    </row>
    <row r="8" customFormat="false" ht="23.25" hidden="false" customHeight="true" outlineLevel="0" collapsed="false">
      <c r="A8" s="4" t="s">
        <v>151</v>
      </c>
      <c r="B8" s="4" t="s">
        <v>152</v>
      </c>
      <c r="C8" s="4" t="s">
        <v>153</v>
      </c>
    </row>
    <row r="9" customFormat="false" ht="15" hidden="false" customHeight="true" outlineLevel="0" collapsed="false">
      <c r="A9" s="4" t="s">
        <v>151</v>
      </c>
      <c r="B9" s="4" t="s">
        <v>154</v>
      </c>
      <c r="C9" s="4" t="s">
        <v>155</v>
      </c>
    </row>
    <row r="10" customFormat="false" ht="23.25" hidden="false" customHeight="true" outlineLevel="0" collapsed="false">
      <c r="A10" s="4" t="s">
        <v>156</v>
      </c>
      <c r="B10" s="4" t="s">
        <v>157</v>
      </c>
      <c r="C10" s="4" t="s">
        <v>158</v>
      </c>
    </row>
    <row r="11" customFormat="false" ht="15" hidden="false" customHeight="true" outlineLevel="0" collapsed="false">
      <c r="A11" s="4" t="s">
        <v>159</v>
      </c>
      <c r="B11" s="4" t="s">
        <v>160</v>
      </c>
      <c r="C11" s="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2026-09-17T19:03:58Z</dcterms:created>
  <dc:creator>openpyxl</dc:creator>
  <dc:description/>
  <dc:language>en-US</dc:language>
  <cp:lastModifiedBy/>
  <dcterms:modified xsi:type="dcterms:W3CDTF">2026-09-17T19:04:18Z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