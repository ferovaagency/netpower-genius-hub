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words verificadas" sheetId="1" state="visible" r:id="rId3"/>
    <sheet name="Descartadas" sheetId="2" state="visible" r:id="rId4"/>
    <sheet name="Techo de deman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<sst xmlns="http://schemas.openxmlformats.org/spreadsheetml/2006/main" count="168" uniqueCount="117">
  <si>
    <t xml:space="preserve">Grupo</t>
  </si>
  <si>
    <t xml:space="preserve">Keyword</t>
  </si>
  <si>
    <t xml:space="preserve">Concordancia</t>
  </si>
  <si>
    <t xml:space="preserve">Vol./mes</t>
  </si>
  <si>
    <t xml:space="preserve">CPC Ubersuggest (COP)</t>
  </si>
  <si>
    <t xml:space="preserve">Dificultad pago</t>
  </si>
  <si>
    <t xml:space="preserve">Veredicto</t>
  </si>
  <si>
    <t xml:space="preserve">CPC tope (COP)</t>
  </si>
  <si>
    <t xml:space="preserve">Landing</t>
  </si>
  <si>
    <t xml:space="preserve">3 kVA</t>
  </si>
  <si>
    <t xml:space="preserve">ups 3kva</t>
  </si>
  <si>
    <t xml:space="preserve">Exacta</t>
  </si>
  <si>
    <t xml:space="preserve">La mejor del grupo. Volumen y compra. Muy competida en pago</t>
  </si>
  <si>
    <t xml:space="preserve">https://netpowerit.co/producto/ups-online-monofasica-sat-uol3</t>
  </si>
  <si>
    <t xml:space="preserve">ups 3000va</t>
  </si>
  <si>
    <t xml:space="preserve">Mismo producto escrito distinto. Vale</t>
  </si>
  <si>
    <t xml:space="preserve">ups online 3kva</t>
  </si>
  <si>
    <t xml:space="preserve">Intención exacta del producto</t>
  </si>
  <si>
    <t xml:space="preserve">ups 3kva 220v</t>
  </si>
  <si>
    <t xml:space="preserve">NUEVA de Ubersuggest. No la tenía</t>
  </si>
  <si>
    <t xml:space="preserve">ups 3kva monofasica</t>
  </si>
  <si>
    <t xml:space="preserve">NUEVA de Ubersuggest. Describe exactamente el UOL3000</t>
  </si>
  <si>
    <t xml:space="preserve">precio ups 3kva</t>
  </si>
  <si>
    <t xml:space="preserve">NUEVA. Ojo: el orden real es 'precio ups 3kva', no 'ups 3kva precio'</t>
  </si>
  <si>
    <t xml:space="preserve">ups para servidor</t>
  </si>
  <si>
    <t xml:space="preserve">Frase</t>
  </si>
  <si>
    <t xml:space="preserve">Poco volumen pero comprador correcto</t>
  </si>
  <si>
    <t xml:space="preserve">ups para rack</t>
  </si>
  <si>
    <t xml:space="preserve">Igual: poco volumen, buen perfil</t>
  </si>
  <si>
    <t xml:space="preserve">ups online</t>
  </si>
  <si>
    <t xml:space="preserve">Volumen alto pero intención NAVEGACIONAL según Ubersuggest. Vigilar de cerca</t>
  </si>
  <si>
    <t xml:space="preserve">ups 2kva</t>
  </si>
  <si>
    <t xml:space="preserve">Transaccional confirmada. Es el UOL2000, no el 3000: llevarla a su propia ficha</t>
  </si>
  <si>
    <t xml:space="preserve">https://netpowerit.co/producto/ups-online-monofasica-sat-uol2</t>
  </si>
  <si>
    <t xml:space="preserve">6 kVA</t>
  </si>
  <si>
    <t xml:space="preserve">ups 6kva</t>
  </si>
  <si>
    <t xml:space="preserve">La mejor del grupo. CPC alto pero menos competida que las de 3 kVA</t>
  </si>
  <si>
    <t xml:space="preserve">https://netpowerit.co/producto/ups-online-bifasica-sat-uol600</t>
  </si>
  <si>
    <t xml:space="preserve">ups bifasica</t>
  </si>
  <si>
    <t xml:space="preserve">Describe el producto. Volumen bajo</t>
  </si>
  <si>
    <t xml:space="preserve">ups bifasica 6kva</t>
  </si>
  <si>
    <t xml:space="preserve">NUEVA. La menos competida de todas: dificultad de pago 37</t>
  </si>
  <si>
    <t xml:space="preserve">ups 6kva precio</t>
  </si>
  <si>
    <t xml:space="preserve">Intención de compra directa</t>
  </si>
  <si>
    <t xml:space="preserve">ups 6kva trifasica</t>
  </si>
  <si>
    <t xml:space="preserve">NUEVA. Poco volumen, poca competencia</t>
  </si>
  <si>
    <t xml:space="preserve">ups industrial</t>
  </si>
  <si>
    <t xml:space="preserve">NUEVA. Volumen real pero intención difusa. Empezar pausada</t>
  </si>
  <si>
    <t xml:space="preserve">ups 10kva</t>
  </si>
  <si>
    <t xml:space="preserve">NUEVA. No es el producto, pero ese comprador baja a 6 kVA por presupuesto. Probar</t>
  </si>
  <si>
    <t xml:space="preserve">ups trifasica</t>
  </si>
  <si>
    <t xml:space="preserve">NUEVA. El UOL6000 es bifásico: sirve para captar y reorientar</t>
  </si>
  <si>
    <t xml:space="preserve">TOTAL</t>
  </si>
  <si>
    <t xml:space="preserve">Fuente: Ubersuggest, Colombia (loc 2170), español, consultado el 17 de septiembre de 2026. El CPC viene en dólares y está convertido a pesos por Ubersuggest. 'Dificultad de pago' va de 0 a 100: a más alto, más anunciantes compitiendo.</t>
  </si>
  <si>
    <t xml:space="preserve">Keyword que había puesto</t>
  </si>
  <si>
    <t xml:space="preserve">Vol./mes real</t>
  </si>
  <si>
    <t xml:space="preserve">Por qué la saco</t>
  </si>
  <si>
    <t xml:space="preserve">Qué la reemplaza</t>
  </si>
  <si>
    <t xml:space="preserve">ups online monofasica</t>
  </si>
  <si>
    <t xml:space="preserve">Cero búsquedas en Colombia. La escribí porque describe el producto, no porque alguien la busque</t>
  </si>
  <si>
    <t xml:space="preserve">ups 3kva monofasica (40/mes)</t>
  </si>
  <si>
    <t xml:space="preserve">ups 6000va</t>
  </si>
  <si>
    <t xml:space="preserve">Diez búsquedas al mes. No mueve la aguja</t>
  </si>
  <si>
    <t xml:space="preserve">ups 6kva (140/mes)</t>
  </si>
  <si>
    <t xml:space="preserve">ups online doble conversion</t>
  </si>
  <si>
    <t xml:space="preserve">Diez al mes. Es lenguaje de ficha técnica, no de búsqueda</t>
  </si>
  <si>
    <t xml:space="preserve">ups 3kva (390/mes)</t>
  </si>
  <si>
    <t xml:space="preserve">ups online 3000va</t>
  </si>
  <si>
    <t xml:space="preserve">Sin volumen medible</t>
  </si>
  <si>
    <t xml:space="preserve">ups 3000va (90/mes)</t>
  </si>
  <si>
    <t xml:space="preserve">comprar ups 3kva</t>
  </si>
  <si>
    <t xml:space="preserve">Sin volumen medible. 'comprar ups' a secas son 30/mes</t>
  </si>
  <si>
    <t xml:space="preserve">precio ups 3kva (30/mes)</t>
  </si>
  <si>
    <t xml:space="preserve">ups 3kva precio</t>
  </si>
  <si>
    <t xml:space="preserve">El orden que la gente escribe es 'precio ups 3kva'</t>
  </si>
  <si>
    <t xml:space="preserve">ups online para servidor</t>
  </si>
  <si>
    <t xml:space="preserve">Sin volumen. La real es 'ups para servidor'</t>
  </si>
  <si>
    <t xml:space="preserve">ups para servidor (30/mes)</t>
  </si>
  <si>
    <t xml:space="preserve">ups para rack servidor</t>
  </si>
  <si>
    <t xml:space="preserve">Sin volumen. La real es 'ups para rack'</t>
  </si>
  <si>
    <t xml:space="preserve">ups para rack (30/mes)</t>
  </si>
  <si>
    <t xml:space="preserve">ups 220v trifasica</t>
  </si>
  <si>
    <t xml:space="preserve">Sin volumen con ese orden</t>
  </si>
  <si>
    <t xml:space="preserve">ups trifasica (70/mes)</t>
  </si>
  <si>
    <t xml:space="preserve">ups online 220v</t>
  </si>
  <si>
    <t xml:space="preserve">ups 3kva 220v (50/mes)</t>
  </si>
  <si>
    <t xml:space="preserve">ups sat uol3000</t>
  </si>
  <si>
    <t xml:space="preserve">Sin volumen. Nadie busca la referencia por su código</t>
  </si>
  <si>
    <t xml:space="preserve">Queda solo como negativa de marca, no vale pautarla</t>
  </si>
  <si>
    <t xml:space="preserve">ups sat uol6000</t>
  </si>
  <si>
    <t xml:space="preserve">Igual: sin volumen</t>
  </si>
  <si>
    <t xml:space="preserve">Idem</t>
  </si>
  <si>
    <t xml:space="preserve">El hallazgo que cambia el plan</t>
  </si>
  <si>
    <t xml:space="preserve">Con estas keywords no hay demanda suficiente para gastar los $300.000 en 30 días. No es un problema de presupuesto: es el tamaño del mercado.</t>
  </si>
  <si>
    <t xml:space="preserve">Nota</t>
  </si>
  <si>
    <t xml:space="preserve">Búsquedas al mes del grupo</t>
  </si>
  <si>
    <t xml:space="preserve">Suma de la pestaña Keywords verificadas</t>
  </si>
  <si>
    <t xml:space="preserve">Cuánto capturás con exacta y frase</t>
  </si>
  <si>
    <t xml:space="preserve">Editable. Exacta y frase no cubren toda variante</t>
  </si>
  <si>
    <t xml:space="preserve">Impresiones alcanzables</t>
  </si>
  <si>
    <t xml:space="preserve">Cuota de impresiones esperada</t>
  </si>
  <si>
    <t xml:space="preserve">Editable. Cuánto de la subasta ganás. Más alta en 6 kVA: hay menos competencia</t>
  </si>
  <si>
    <t xml:space="preserve">Impresiones reales</t>
  </si>
  <si>
    <t xml:space="preserve">CTR del anuncio</t>
  </si>
  <si>
    <t xml:space="preserve">Editable. 7% es razonable en búsqueda con anuncio relevante</t>
  </si>
  <si>
    <t xml:space="preserve">Clics disponibles al mes</t>
  </si>
  <si>
    <t xml:space="preserve">Este es el techo real</t>
  </si>
  <si>
    <t xml:space="preserve">CPC promedio esperado</t>
  </si>
  <si>
    <t xml:space="preserve">Editable. Sacado del CPC de Ubersuggest de cada grupo</t>
  </si>
  <si>
    <t xml:space="preserve">Gasto posible al mes</t>
  </si>
  <si>
    <t xml:space="preserve">Lo máximo que se puede gastar aunque quieras gastar más</t>
  </si>
  <si>
    <t xml:space="preserve">Gasto posible entre los dos</t>
  </si>
  <si>
    <t xml:space="preserve">Presupuesto del bono</t>
  </si>
  <si>
    <t xml:space="preserve">Lo que quedaría sin gastar</t>
  </si>
  <si>
    <t xml:space="preserve">Opción A · Aceptarlo. Gastás lo que la demanda permita y el resto del bono no se usa. Es lo más limpio para la calidad de los leads, pero si la nota crédito exige ejecutar el bono completo, no sirve.</t>
  </si>
  <si>
    <t xml:space="preserve">Opción B · Sumar el resto de referencias SAT. Las otras cinco (UR750, UR1000, UR1500, UR2000, UOL2000) tienen sus propias keywords con volumen: ups 1kva, ups 1000va, ups interactiva, ups 2kva. Amplía el gasto posible sin bajar la calidad, pero diluye el foco en los dos productos que elegiste.</t>
  </si>
  <si>
    <t xml:space="preserve">Opción C · Subir los topes de CPC y comprar posición. Con los tickets que manejás, pagar $3.500 por clic en 'ups 3kva' sigue siendo barato. Gastás más rápido y ganás más subastas, pero el mismo número de personas te va a ver.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</si>
</sst>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C7CE"/>
        <bgColor rgb="FFCCCCFF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4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390</v>
      </c>
      <c r="E2" s="3" t="n">
        <v>1724</v>
      </c>
      <c r="F2" s="2" t="n">
        <v>100</v>
      </c>
      <c r="G2" s="2" t="s">
        <v>12</v>
      </c>
      <c r="H2" s="3" t="n">
        <v>2500</v>
      </c>
      <c r="I2" s="2" t="s">
        <v>13</v>
      </c>
    </row>
    <row r="3" customFormat="false" ht="23.85" hidden="false" customHeight="false" outlineLevel="0" collapsed="false">
      <c r="A3" s="2" t="s">
        <v>9</v>
      </c>
      <c r="B3" s="2" t="s">
        <v>14</v>
      </c>
      <c r="C3" s="2" t="s">
        <v>11</v>
      </c>
      <c r="D3" s="2" t="n">
        <v>90</v>
      </c>
      <c r="E3" s="3" t="n">
        <v>1021</v>
      </c>
      <c r="F3" s="2" t="n">
        <v>100</v>
      </c>
      <c r="G3" s="2" t="s">
        <v>15</v>
      </c>
      <c r="H3" s="3" t="n">
        <v>2000</v>
      </c>
      <c r="I3" s="2" t="s">
        <v>13</v>
      </c>
    </row>
    <row r="4" customFormat="false" ht="23.85" hidden="false" customHeight="false" outlineLevel="0" collapsed="false">
      <c r="A4" s="2" t="s">
        <v>9</v>
      </c>
      <c r="B4" s="2" t="s">
        <v>16</v>
      </c>
      <c r="C4" s="2" t="s">
        <v>11</v>
      </c>
      <c r="D4" s="2" t="n">
        <v>70</v>
      </c>
      <c r="E4" s="3" t="n">
        <v>940</v>
      </c>
      <c r="F4" s="2" t="n">
        <v>100</v>
      </c>
      <c r="G4" s="2" t="s">
        <v>17</v>
      </c>
      <c r="H4" s="3" t="n">
        <v>2000</v>
      </c>
      <c r="I4" s="2" t="s">
        <v>13</v>
      </c>
    </row>
    <row r="5" customFormat="false" ht="23.85" hidden="false" customHeight="false" outlineLevel="0" collapsed="false">
      <c r="A5" s="2" t="s">
        <v>9</v>
      </c>
      <c r="B5" s="2" t="s">
        <v>18</v>
      </c>
      <c r="C5" s="2" t="s">
        <v>11</v>
      </c>
      <c r="D5" s="2" t="n">
        <v>50</v>
      </c>
      <c r="E5" s="3" t="n">
        <v>1034</v>
      </c>
      <c r="F5" s="2" t="n">
        <v>100</v>
      </c>
      <c r="G5" s="2" t="s">
        <v>19</v>
      </c>
      <c r="H5" s="3" t="n">
        <v>2000</v>
      </c>
      <c r="I5" s="2" t="s">
        <v>13</v>
      </c>
    </row>
    <row r="6" customFormat="false" ht="23.85" hidden="false" customHeight="false" outlineLevel="0" collapsed="false">
      <c r="A6" s="2" t="s">
        <v>9</v>
      </c>
      <c r="B6" s="2" t="s">
        <v>20</v>
      </c>
      <c r="C6" s="2" t="s">
        <v>11</v>
      </c>
      <c r="D6" s="2" t="n">
        <v>40</v>
      </c>
      <c r="E6" s="3" t="n">
        <v>1395</v>
      </c>
      <c r="F6" s="2" t="n">
        <v>96</v>
      </c>
      <c r="G6" s="2" t="s">
        <v>21</v>
      </c>
      <c r="H6" s="3" t="n">
        <v>2000</v>
      </c>
      <c r="I6" s="2" t="s">
        <v>13</v>
      </c>
    </row>
    <row r="7" customFormat="false" ht="23.85" hidden="false" customHeight="false" outlineLevel="0" collapsed="false">
      <c r="A7" s="2" t="s">
        <v>9</v>
      </c>
      <c r="B7" s="2" t="s">
        <v>22</v>
      </c>
      <c r="C7" s="2" t="s">
        <v>11</v>
      </c>
      <c r="D7" s="2" t="n">
        <v>30</v>
      </c>
      <c r="E7" s="3" t="n">
        <v>799</v>
      </c>
      <c r="F7" s="2" t="n">
        <v>100</v>
      </c>
      <c r="G7" s="2" t="s">
        <v>23</v>
      </c>
      <c r="H7" s="3" t="n">
        <v>2000</v>
      </c>
      <c r="I7" s="2" t="s">
        <v>13</v>
      </c>
    </row>
    <row r="8" customFormat="false" ht="23.85" hidden="false" customHeight="false" outlineLevel="0" collapsed="false">
      <c r="A8" s="2" t="s">
        <v>9</v>
      </c>
      <c r="B8" s="2" t="s">
        <v>24</v>
      </c>
      <c r="C8" s="2" t="s">
        <v>25</v>
      </c>
      <c r="D8" s="2" t="n">
        <v>30</v>
      </c>
      <c r="E8" s="3" t="n">
        <v>1678</v>
      </c>
      <c r="F8" s="2" t="n">
        <v>100</v>
      </c>
      <c r="G8" s="2" t="s">
        <v>26</v>
      </c>
      <c r="H8" s="3" t="n">
        <v>2000</v>
      </c>
      <c r="I8" s="2" t="s">
        <v>13</v>
      </c>
    </row>
    <row r="9" customFormat="false" ht="23.85" hidden="false" customHeight="false" outlineLevel="0" collapsed="false">
      <c r="A9" s="2" t="s">
        <v>9</v>
      </c>
      <c r="B9" s="2" t="s">
        <v>27</v>
      </c>
      <c r="C9" s="2" t="s">
        <v>25</v>
      </c>
      <c r="D9" s="2" t="n">
        <v>30</v>
      </c>
      <c r="E9" s="3" t="n">
        <v>1334</v>
      </c>
      <c r="F9" s="2" t="n">
        <v>100</v>
      </c>
      <c r="G9" s="2" t="s">
        <v>28</v>
      </c>
      <c r="H9" s="3" t="n">
        <v>1800</v>
      </c>
      <c r="I9" s="2" t="s">
        <v>13</v>
      </c>
    </row>
    <row r="10" customFormat="false" ht="35.05" hidden="false" customHeight="false" outlineLevel="0" collapsed="false">
      <c r="A10" s="2" t="s">
        <v>9</v>
      </c>
      <c r="B10" s="2" t="s">
        <v>29</v>
      </c>
      <c r="C10" s="2" t="s">
        <v>25</v>
      </c>
      <c r="D10" s="2" t="n">
        <v>260</v>
      </c>
      <c r="E10" s="3" t="n">
        <v>1786</v>
      </c>
      <c r="F10" s="2" t="n">
        <v>100</v>
      </c>
      <c r="G10" s="2" t="s">
        <v>30</v>
      </c>
      <c r="H10" s="3" t="n">
        <v>1800</v>
      </c>
      <c r="I10" s="2" t="s">
        <v>13</v>
      </c>
    </row>
    <row r="11" customFormat="false" ht="35.05" hidden="false" customHeight="false" outlineLevel="0" collapsed="false">
      <c r="A11" s="2" t="s">
        <v>9</v>
      </c>
      <c r="B11" s="2" t="s">
        <v>31</v>
      </c>
      <c r="C11" s="2" t="s">
        <v>11</v>
      </c>
      <c r="D11" s="2" t="n">
        <v>260</v>
      </c>
      <c r="E11" s="3" t="n">
        <v>878</v>
      </c>
      <c r="F11" s="2" t="n">
        <v>100</v>
      </c>
      <c r="G11" s="2" t="s">
        <v>32</v>
      </c>
      <c r="H11" s="3" t="n">
        <v>1500</v>
      </c>
      <c r="I11" s="2" t="s">
        <v>33</v>
      </c>
    </row>
    <row r="12" customFormat="false" ht="23.85" hidden="false" customHeight="false" outlineLevel="0" collapsed="false">
      <c r="A12" s="4" t="s">
        <v>34</v>
      </c>
      <c r="B12" s="4" t="s">
        <v>35</v>
      </c>
      <c r="C12" s="4" t="s">
        <v>11</v>
      </c>
      <c r="D12" s="4" t="n">
        <v>140</v>
      </c>
      <c r="E12" s="5" t="n">
        <v>2350</v>
      </c>
      <c r="F12" s="4" t="n">
        <v>73</v>
      </c>
      <c r="G12" s="4" t="s">
        <v>36</v>
      </c>
      <c r="H12" s="5" t="n">
        <v>3500</v>
      </c>
      <c r="I12" s="4" t="s">
        <v>37</v>
      </c>
    </row>
    <row r="13" customFormat="false" ht="23.85" hidden="false" customHeight="false" outlineLevel="0" collapsed="false">
      <c r="A13" s="4" t="s">
        <v>34</v>
      </c>
      <c r="B13" s="4" t="s">
        <v>38</v>
      </c>
      <c r="C13" s="4" t="s">
        <v>25</v>
      </c>
      <c r="D13" s="4" t="n">
        <v>30</v>
      </c>
      <c r="E13" s="5" t="n">
        <v>1144</v>
      </c>
      <c r="F13" s="4" t="n">
        <v>100</v>
      </c>
      <c r="G13" s="4" t="s">
        <v>39</v>
      </c>
      <c r="H13" s="5" t="n">
        <v>2500</v>
      </c>
      <c r="I13" s="4" t="s">
        <v>37</v>
      </c>
    </row>
    <row r="14" customFormat="false" ht="23.85" hidden="false" customHeight="false" outlineLevel="0" collapsed="false">
      <c r="A14" s="4" t="s">
        <v>34</v>
      </c>
      <c r="B14" s="4" t="s">
        <v>40</v>
      </c>
      <c r="C14" s="4" t="s">
        <v>11</v>
      </c>
      <c r="D14" s="4" t="n">
        <v>20</v>
      </c>
      <c r="E14" s="5" t="n">
        <v>1614</v>
      </c>
      <c r="F14" s="4" t="n">
        <v>37</v>
      </c>
      <c r="G14" s="4" t="s">
        <v>41</v>
      </c>
      <c r="H14" s="5" t="n">
        <v>3000</v>
      </c>
      <c r="I14" s="4" t="s">
        <v>37</v>
      </c>
    </row>
    <row r="15" customFormat="false" ht="23.85" hidden="false" customHeight="false" outlineLevel="0" collapsed="false">
      <c r="A15" s="4" t="s">
        <v>34</v>
      </c>
      <c r="B15" s="4" t="s">
        <v>42</v>
      </c>
      <c r="C15" s="4" t="s">
        <v>11</v>
      </c>
      <c r="D15" s="4" t="n">
        <v>20</v>
      </c>
      <c r="E15" s="5" t="n">
        <v>1050</v>
      </c>
      <c r="F15" s="4" t="n">
        <v>100</v>
      </c>
      <c r="G15" s="4" t="s">
        <v>43</v>
      </c>
      <c r="H15" s="5" t="n">
        <v>2500</v>
      </c>
      <c r="I15" s="4" t="s">
        <v>37</v>
      </c>
    </row>
    <row r="16" customFormat="false" ht="23.85" hidden="false" customHeight="false" outlineLevel="0" collapsed="false">
      <c r="A16" s="4" t="s">
        <v>34</v>
      </c>
      <c r="B16" s="4" t="s">
        <v>44</v>
      </c>
      <c r="C16" s="4" t="s">
        <v>11</v>
      </c>
      <c r="D16" s="4" t="n">
        <v>10</v>
      </c>
      <c r="E16" s="5" t="n">
        <v>1348</v>
      </c>
      <c r="F16" s="4" t="n">
        <v>33</v>
      </c>
      <c r="G16" s="4" t="s">
        <v>45</v>
      </c>
      <c r="H16" s="5" t="n">
        <v>2500</v>
      </c>
      <c r="I16" s="4" t="s">
        <v>37</v>
      </c>
    </row>
    <row r="17" customFormat="false" ht="23.85" hidden="false" customHeight="false" outlineLevel="0" collapsed="false">
      <c r="A17" s="4" t="s">
        <v>34</v>
      </c>
      <c r="B17" s="4" t="s">
        <v>46</v>
      </c>
      <c r="C17" s="4" t="s">
        <v>25</v>
      </c>
      <c r="D17" s="4" t="n">
        <v>110</v>
      </c>
      <c r="E17" s="5" t="n">
        <v>1631</v>
      </c>
      <c r="F17" s="4" t="n">
        <v>75</v>
      </c>
      <c r="G17" s="4" t="s">
        <v>47</v>
      </c>
      <c r="H17" s="5" t="n">
        <v>2000</v>
      </c>
      <c r="I17" s="4" t="s">
        <v>37</v>
      </c>
    </row>
    <row r="18" customFormat="false" ht="35.05" hidden="false" customHeight="false" outlineLevel="0" collapsed="false">
      <c r="A18" s="4" t="s">
        <v>34</v>
      </c>
      <c r="B18" s="4" t="s">
        <v>48</v>
      </c>
      <c r="C18" s="4" t="s">
        <v>11</v>
      </c>
      <c r="D18" s="4" t="n">
        <v>110</v>
      </c>
      <c r="E18" s="5" t="n">
        <v>1663</v>
      </c>
      <c r="F18" s="4" t="n">
        <v>75</v>
      </c>
      <c r="G18" s="4" t="s">
        <v>49</v>
      </c>
      <c r="H18" s="5" t="n">
        <v>2000</v>
      </c>
      <c r="I18" s="4" t="s">
        <v>37</v>
      </c>
    </row>
    <row r="19" customFormat="false" ht="23.85" hidden="false" customHeight="false" outlineLevel="0" collapsed="false">
      <c r="A19" s="4" t="s">
        <v>34</v>
      </c>
      <c r="B19" s="4" t="s">
        <v>50</v>
      </c>
      <c r="C19" s="4" t="s">
        <v>25</v>
      </c>
      <c r="D19" s="4" t="n">
        <v>70</v>
      </c>
      <c r="E19" s="5" t="n">
        <v>1334</v>
      </c>
      <c r="F19" s="4" t="n">
        <v>50</v>
      </c>
      <c r="G19" s="4" t="s">
        <v>51</v>
      </c>
      <c r="H19" s="5" t="n">
        <v>1800</v>
      </c>
      <c r="I19" s="4" t="s">
        <v>37</v>
      </c>
    </row>
    <row r="20" customFormat="false" ht="15" hidden="false" customHeight="false" outlineLevel="0" collapsed="false">
      <c r="C20" s="6" t="s">
        <v>52</v>
      </c>
      <c r="D20" s="6" t="n">
        <f aca="false">SUM(D2:D19)</f>
        <v>1760</v>
      </c>
    </row>
    <row r="22" customFormat="false" ht="31.5" hidden="false" customHeight="true" outlineLevel="0" collapsed="false">
      <c r="A22" s="7" t="s">
        <v>53</v>
      </c>
      <c r="B22" s="7"/>
      <c r="C22" s="7"/>
      <c r="D22" s="7"/>
      <c r="E22" s="7"/>
      <c r="F22" s="7"/>
      <c r="G22" s="7"/>
      <c r="H22" s="7"/>
      <c r="I22" s="7"/>
    </row>
  </sheetData>
  <mergeCells count="1"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54</v>
      </c>
      <c r="B1" s="1" t="s">
        <v>55</v>
      </c>
      <c r="C1" s="1" t="s">
        <v>56</v>
      </c>
      <c r="D1" s="1" t="s">
        <v>57</v>
      </c>
    </row>
    <row r="2" customFormat="false" ht="23.85" hidden="false" customHeight="false" outlineLevel="0" collapsed="false">
      <c r="A2" s="8" t="s">
        <v>58</v>
      </c>
      <c r="B2" s="8" t="n">
        <v>0</v>
      </c>
      <c r="C2" s="8" t="s">
        <v>59</v>
      </c>
      <c r="D2" s="8" t="s">
        <v>60</v>
      </c>
    </row>
    <row r="3" customFormat="false" ht="15" hidden="false" customHeight="false" outlineLevel="0" collapsed="false">
      <c r="A3" s="8" t="s">
        <v>61</v>
      </c>
      <c r="B3" s="8" t="n">
        <v>10</v>
      </c>
      <c r="C3" s="8" t="s">
        <v>62</v>
      </c>
      <c r="D3" s="8" t="s">
        <v>63</v>
      </c>
    </row>
    <row r="4" customFormat="false" ht="15" hidden="false" customHeight="false" outlineLevel="0" collapsed="false">
      <c r="A4" s="8" t="s">
        <v>64</v>
      </c>
      <c r="B4" s="8" t="n">
        <v>10</v>
      </c>
      <c r="C4" s="8" t="s">
        <v>65</v>
      </c>
      <c r="D4" s="8" t="s">
        <v>66</v>
      </c>
    </row>
    <row r="5" customFormat="false" ht="15" hidden="false" customHeight="false" outlineLevel="0" collapsed="false">
      <c r="A5" s="8" t="s">
        <v>67</v>
      </c>
      <c r="B5" s="8"/>
      <c r="C5" s="8" t="s">
        <v>68</v>
      </c>
      <c r="D5" s="8" t="s">
        <v>69</v>
      </c>
    </row>
    <row r="6" customFormat="false" ht="15" hidden="false" customHeight="false" outlineLevel="0" collapsed="false">
      <c r="A6" s="8" t="s">
        <v>70</v>
      </c>
      <c r="B6" s="8"/>
      <c r="C6" s="8" t="s">
        <v>71</v>
      </c>
      <c r="D6" s="8" t="s">
        <v>72</v>
      </c>
    </row>
    <row r="7" customFormat="false" ht="15" hidden="false" customHeight="false" outlineLevel="0" collapsed="false">
      <c r="A7" s="8" t="s">
        <v>73</v>
      </c>
      <c r="B7" s="8"/>
      <c r="C7" s="8" t="s">
        <v>74</v>
      </c>
      <c r="D7" s="8" t="s">
        <v>72</v>
      </c>
    </row>
    <row r="8" customFormat="false" ht="15" hidden="false" customHeight="false" outlineLevel="0" collapsed="false">
      <c r="A8" s="8" t="s">
        <v>75</v>
      </c>
      <c r="B8" s="8"/>
      <c r="C8" s="8" t="s">
        <v>76</v>
      </c>
      <c r="D8" s="8" t="s">
        <v>77</v>
      </c>
    </row>
    <row r="9" customFormat="false" ht="15" hidden="false" customHeight="false" outlineLevel="0" collapsed="false">
      <c r="A9" s="8" t="s">
        <v>78</v>
      </c>
      <c r="B9" s="8"/>
      <c r="C9" s="8" t="s">
        <v>79</v>
      </c>
      <c r="D9" s="8" t="s">
        <v>80</v>
      </c>
    </row>
    <row r="10" customFormat="false" ht="15" hidden="false" customHeight="false" outlineLevel="0" collapsed="false">
      <c r="A10" s="8" t="s">
        <v>81</v>
      </c>
      <c r="B10" s="8"/>
      <c r="C10" s="8" t="s">
        <v>82</v>
      </c>
      <c r="D10" s="8" t="s">
        <v>83</v>
      </c>
    </row>
    <row r="11" customFormat="false" ht="15" hidden="false" customHeight="false" outlineLevel="0" collapsed="false">
      <c r="A11" s="8" t="s">
        <v>84</v>
      </c>
      <c r="B11" s="8"/>
      <c r="C11" s="8" t="s">
        <v>68</v>
      </c>
      <c r="D11" s="8" t="s">
        <v>85</v>
      </c>
    </row>
    <row r="12" customFormat="false" ht="23.85" hidden="false" customHeight="false" outlineLevel="0" collapsed="false">
      <c r="A12" s="8" t="s">
        <v>86</v>
      </c>
      <c r="B12" s="8"/>
      <c r="C12" s="8" t="s">
        <v>87</v>
      </c>
      <c r="D12" s="8" t="s">
        <v>88</v>
      </c>
    </row>
    <row r="13" customFormat="false" ht="15" hidden="false" customHeight="false" outlineLevel="0" collapsed="false">
      <c r="A13" s="8" t="s">
        <v>89</v>
      </c>
      <c r="B13" s="8"/>
      <c r="C13" s="8" t="s">
        <v>90</v>
      </c>
      <c r="D13" s="8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9" t="s">
        <v>92</v>
      </c>
    </row>
    <row r="2" customFormat="false" ht="31.5" hidden="false" customHeight="true" outlineLevel="0" collapsed="false">
      <c r="A2" s="10" t="s">
        <v>93</v>
      </c>
      <c r="B2" s="10"/>
      <c r="C2" s="10"/>
      <c r="D2" s="10"/>
    </row>
    <row r="4" customFormat="false" ht="15" hidden="false" customHeight="false" outlineLevel="0" collapsed="false">
      <c r="A4" s="11"/>
      <c r="B4" s="11" t="s">
        <v>9</v>
      </c>
      <c r="C4" s="11" t="s">
        <v>34</v>
      </c>
      <c r="D4" s="11" t="s">
        <v>94</v>
      </c>
    </row>
    <row r="5" customFormat="false" ht="25.5" hidden="false" customHeight="true" outlineLevel="0" collapsed="false">
      <c r="A5" s="12" t="s">
        <v>95</v>
      </c>
      <c r="B5" s="13" t="n">
        <v>1250</v>
      </c>
      <c r="C5" s="13" t="n">
        <v>510</v>
      </c>
      <c r="D5" s="14" t="s">
        <v>96</v>
      </c>
    </row>
    <row r="6" customFormat="false" ht="25.5" hidden="false" customHeight="true" outlineLevel="0" collapsed="false">
      <c r="A6" s="12" t="s">
        <v>97</v>
      </c>
      <c r="B6" s="15" t="n">
        <v>0.45</v>
      </c>
      <c r="C6" s="15" t="n">
        <v>0.45</v>
      </c>
      <c r="D6" s="14" t="s">
        <v>98</v>
      </c>
    </row>
    <row r="7" customFormat="false" ht="25.5" hidden="false" customHeight="true" outlineLevel="0" collapsed="false">
      <c r="A7" s="12" t="s">
        <v>99</v>
      </c>
      <c r="B7" s="16" t="n">
        <f aca="false">ROUND(B5*B6,0)</f>
        <v>563</v>
      </c>
      <c r="C7" s="16" t="n">
        <f aca="false">ROUND(C5*C6,0)</f>
        <v>230</v>
      </c>
      <c r="D7" s="14"/>
    </row>
    <row r="8" customFormat="false" ht="25.5" hidden="false" customHeight="true" outlineLevel="0" collapsed="false">
      <c r="A8" s="12" t="s">
        <v>100</v>
      </c>
      <c r="B8" s="15" t="n">
        <v>0.55</v>
      </c>
      <c r="C8" s="15" t="n">
        <v>0.65</v>
      </c>
      <c r="D8" s="14" t="s">
        <v>101</v>
      </c>
    </row>
    <row r="9" customFormat="false" ht="25.5" hidden="false" customHeight="true" outlineLevel="0" collapsed="false">
      <c r="A9" s="12" t="s">
        <v>102</v>
      </c>
      <c r="B9" s="16" t="n">
        <f aca="false">ROUND(B7*B8,0)</f>
        <v>310</v>
      </c>
      <c r="C9" s="16" t="n">
        <f aca="false">ROUND(C7*C8,0)</f>
        <v>150</v>
      </c>
      <c r="D9" s="14"/>
    </row>
    <row r="10" customFormat="false" ht="25.5" hidden="false" customHeight="true" outlineLevel="0" collapsed="false">
      <c r="A10" s="12" t="s">
        <v>103</v>
      </c>
      <c r="B10" s="15" t="n">
        <v>0.07</v>
      </c>
      <c r="C10" s="15" t="n">
        <v>0.07</v>
      </c>
      <c r="D10" s="14" t="s">
        <v>104</v>
      </c>
    </row>
    <row r="11" customFormat="false" ht="25.5" hidden="false" customHeight="true" outlineLevel="0" collapsed="false">
      <c r="A11" s="12" t="s">
        <v>105</v>
      </c>
      <c r="B11" s="16" t="n">
        <f aca="false">ROUND(B9*B10,0)</f>
        <v>22</v>
      </c>
      <c r="C11" s="16" t="n">
        <f aca="false">ROUND(C9*C10,0)</f>
        <v>11</v>
      </c>
      <c r="D11" s="14" t="s">
        <v>106</v>
      </c>
    </row>
    <row r="12" customFormat="false" ht="25.5" hidden="false" customHeight="true" outlineLevel="0" collapsed="false">
      <c r="A12" s="12" t="s">
        <v>107</v>
      </c>
      <c r="B12" s="17" t="n">
        <v>1500</v>
      </c>
      <c r="C12" s="17" t="n">
        <v>2000</v>
      </c>
      <c r="D12" s="14" t="s">
        <v>108</v>
      </c>
    </row>
    <row r="13" customFormat="false" ht="25.5" hidden="false" customHeight="true" outlineLevel="0" collapsed="false">
      <c r="A13" s="12" t="s">
        <v>109</v>
      </c>
      <c r="B13" s="18" t="n">
        <f aca="false">ROUND(B11*B12,0)</f>
        <v>33000</v>
      </c>
      <c r="C13" s="18" t="n">
        <f aca="false">ROUND(C11*C12,0)</f>
        <v>22000</v>
      </c>
      <c r="D13" s="14" t="s">
        <v>110</v>
      </c>
    </row>
    <row r="15" customFormat="false" ht="15" hidden="false" customHeight="false" outlineLevel="0" collapsed="false">
      <c r="A15" s="19" t="s">
        <v>111</v>
      </c>
      <c r="B15" s="20" t="n">
        <f aca="false">B13+C13</f>
        <v>55000</v>
      </c>
    </row>
    <row r="16" customFormat="false" ht="15" hidden="false" customHeight="false" outlineLevel="0" collapsed="false">
      <c r="A16" s="19" t="s">
        <v>112</v>
      </c>
      <c r="B16" s="20" t="n">
        <v>300000</v>
      </c>
    </row>
    <row r="17" customFormat="false" ht="15" hidden="false" customHeight="false" outlineLevel="0" collapsed="false">
      <c r="A17" s="19" t="s">
        <v>113</v>
      </c>
      <c r="B17" s="21" t="n">
        <f aca="false">B16-B15</f>
        <v>245000</v>
      </c>
    </row>
    <row r="19" customFormat="false" ht="43.5" hidden="false" customHeight="true" outlineLevel="0" collapsed="false">
      <c r="A19" s="22" t="s">
        <v>114</v>
      </c>
      <c r="B19" s="22"/>
      <c r="C19" s="22"/>
      <c r="D19" s="22"/>
    </row>
    <row r="20" customFormat="false" ht="43.5" hidden="false" customHeight="true" outlineLevel="0" collapsed="false">
      <c r="A20" s="22" t="s">
        <v>115</v>
      </c>
      <c r="B20" s="22"/>
      <c r="C20" s="22"/>
      <c r="D20" s="22"/>
    </row>
    <row r="21" customFormat="false" ht="43.5" hidden="false" customHeight="true" outlineLevel="0" collapsed="false">
      <c r="A21" s="22" t="s">
        <v>116</v>
      </c>
      <c r="B21" s="22"/>
      <c r="C21" s="22"/>
      <c r="D21" s="22"/>
    </row>
  </sheetData>
  <mergeCells count="4">
    <mergeCell ref="A2:D2"/>
    <mergeCell ref="A19:D19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2026-09-17T18:47:50Z</dcterms:created>
  <dc:creator>openpyxl</dc:creator>
  <dc:description/>
  <dc:language>en-US</dc:language>
  <cp:lastModifiedBy/>
  <dcterms:modified xsi:type="dcterms:W3CDTF">2026-09-17T18:47:50Z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