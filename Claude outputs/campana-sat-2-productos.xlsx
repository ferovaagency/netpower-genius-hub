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ón" sheetId="1" state="visible" r:id="rId3"/>
    <sheet name="Economía" sheetId="2" state="visible" r:id="rId4"/>
    <sheet name="Keywords" sheetId="3" state="visible" r:id="rId5"/>
    <sheet name="Negativas" sheetId="4" state="visible" r:id="rId6"/>
    <sheet name="Anuncios RSA" sheetId="5" state="visible" r:id="rId7"/>
    <sheet name="Antes de encender" sheetId="6" state="visible" r:id="rId8"/>
  </sheets>
  <definedNames>
    <definedName function="false" hidden="true" localSheetId="4" name="_xlnm._FilterDatabase" vbProcedure="false">'Anuncios RSA'!$A$1:$F$37</definedName>
    <definedName function="false" hidden="true" localSheetId="2" name="_xlnm._FilterDatabase" vbProcedure="false">Keywords!$A$1:$F$23</definedName>
    <definedName function="false" hidden="true" localSheetId="3" name="_xlnm._FilterDatabase" vbProcedure="false">Negativas!$A$1:$C$83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<sst xmlns="http://schemas.openxmlformats.org/spreadsheetml/2006/main" count="563" uniqueCount="237">
  <si>
    <t xml:space="preserve">Campaña SAT · Dos productos · Google Ads AW-18420851379</t>
  </si>
  <si>
    <t xml:space="preserve">Veredicto</t>
  </si>
  <si>
    <t xml:space="preserve">Ficha de producto, no landing nueva. Con cuatro arreglos en la ficha, listados abajo.</t>
  </si>
  <si>
    <t xml:space="preserve">Por qué no landing</t>
  </si>
  <si>
    <t xml:space="preserve">Con $300.000 entran entre 100 y 210 clics en total. Una landing a medida no se puede probar con ese volumen: cualquier diferencia que midas va a ser ruido. Además la construye Desarrollo y no está hoy.</t>
  </si>
  <si>
    <t xml:space="preserve">Por qué la ficha sirve</t>
  </si>
  <si>
    <t xml:space="preserve">La revisé en producción. Ya trae descripción larga, especificaciones, garantía, envío, métodos de pago, SKU visible y tres caminos de contacto: consultar disponibilidad, WhatsApp y cotización formal. Para una compra B2B de ticket alto eso ya es una landing de cotización.</t>
  </si>
  <si>
    <t xml:space="preserve">El problema real</t>
  </si>
  <si>
    <t xml:space="preserve">La ficha tarda 4,6 segundos en pintar el contenido. Medido hoy en producción: TTFB 443 ms, DOM listo a 2,3 s, primer pintado con contenido a 4,6 s. El producto se pide a Supabase después de cargar el bundle.</t>
  </si>
  <si>
    <t xml:space="preserve">Qué significa</t>
  </si>
  <si>
    <t xml:space="preserve">Con tráfico pago eso duele dos veces: se van los visitantes antes de ver nada, y Google castiga la experiencia de la página de destino subiendo el CPC. Es el arreglo de mayor impacto de toda la campaña, y es de Desarrollo.</t>
  </si>
  <si>
    <t xml:space="preserve">Los cuatro arreglos en la ficha</t>
  </si>
  <si>
    <t xml:space="preserve">1. Cargar el precio</t>
  </si>
  <si>
    <t xml:space="preserve">Hoy las dos están en $0 en la base y la ficha dice 'Consulte disponibilidad y precio'. Con ticket de $1.700.000 y $4.700.000, esconder el precio filtra al curioso pero también al comprador con presupuesto aprobado. Cargalos. Impacto: alto. Dominio: Netpower.</t>
  </si>
  <si>
    <t xml:space="preserve">2. Formulario en la misma página</t>
  </si>
  <si>
    <t xml:space="preserve">Los tres CTAs sacan al visitante: chat, WhatsApp u otra página. Un formulario corto arriba (nombre, empresa, correo, teléfono, cantidad) convierte más que un botón que abre otra cosa. Impacto: alto. Dominio: Desarrollo.</t>
  </si>
  <si>
    <t xml:space="preserve">3. Bajar el tiempo a contenido</t>
  </si>
  <si>
    <t xml:space="preserve">Que el producto venga en el HTML en vez de pedirse después. Es el mismo prerender que ya está pendiente desde agosto. Impacto: el más alto de la lista. Dominio: Desarrollo.</t>
  </si>
  <si>
    <t xml:space="preserve">4. Responder las objeciones del ticket</t>
  </si>
  <si>
    <t xml:space="preserve">Autonomía en minutos con carga real, si incluye instalación, tiempo de entrega, qué cubre la garantía y a quién se llama. Hoy la descripción vende beneficios, no resuelve la decisión de compra. Impacto: medio. Dominio: SEO y web.</t>
  </si>
  <si>
    <t xml:space="preserve">Cuánto tiene que pasar para que esto valga la pena</t>
  </si>
  <si>
    <t xml:space="preserve">UOL3000 · 3 kVA</t>
  </si>
  <si>
    <t xml:space="preserve">UOL6000 · 6 kVA</t>
  </si>
  <si>
    <t xml:space="preserve">Nota</t>
  </si>
  <si>
    <t xml:space="preserve">Precio de venta (COP)</t>
  </si>
  <si>
    <t xml:space="preserve">Dato que diste el 17 de septiembre</t>
  </si>
  <si>
    <t xml:space="preserve">Reparto del presupuesto</t>
  </si>
  <si>
    <t xml:space="preserve">Editable. El 3 kVA tiene demanda real; el 6 kVA es nicho</t>
  </si>
  <si>
    <t xml:space="preserve">Presupuesto asignado (COP)</t>
  </si>
  <si>
    <t xml:space="preserve">Sobre $300.000 del bono</t>
  </si>
  <si>
    <t xml:space="preserve">CPC tope (COP)</t>
  </si>
  <si>
    <t xml:space="preserve">Editable. Más alto que el plan de agosto: con este ticket un clic caro se paga solo</t>
  </si>
  <si>
    <t xml:space="preserve">CPC promedio esperado (COP)</t>
  </si>
  <si>
    <t xml:space="preserve">Editable. Suele quedar por debajo del tope</t>
  </si>
  <si>
    <t xml:space="preserve">Clics estimados</t>
  </si>
  <si>
    <t xml:space="preserve">Presupuesto dividido en CPC promedio</t>
  </si>
  <si>
    <t xml:space="preserve">Tasa de cotización</t>
  </si>
  <si>
    <t xml:space="preserve">Editable. 3% es un supuesto de tráfico de búsqueda con intención</t>
  </si>
  <si>
    <t xml:space="preserve">Cotizaciones estimadas</t>
  </si>
  <si>
    <t xml:space="preserve">Estimación, no promesa</t>
  </si>
  <si>
    <t xml:space="preserve">Tasa de cierre</t>
  </si>
  <si>
    <t xml:space="preserve">Editable. 1 de cada 4 en el 3 kVA, 1 de cada 5 en el 6 kVA</t>
  </si>
  <si>
    <t xml:space="preserve">Ventas estimadas</t>
  </si>
  <si>
    <t xml:space="preserve">Menos de 1 significa que hace falta suerte</t>
  </si>
  <si>
    <t xml:space="preserve">Ingreso estimado (COP)</t>
  </si>
  <si>
    <t xml:space="preserve">Ingreso, no margen: el margen no me lo diste</t>
  </si>
  <si>
    <t xml:space="preserve">Retorno sobre la inversión</t>
  </si>
  <si>
    <t xml:space="preserve">Veces el presupuesto, en ingreso</t>
  </si>
  <si>
    <t xml:space="preserve">Cotizaciones para 1 venta</t>
  </si>
  <si>
    <t xml:space="preserve">Cuántas hacen falta para cerrar una</t>
  </si>
  <si>
    <t xml:space="preserve">Costo de esa venta (COP)</t>
  </si>
  <si>
    <t xml:space="preserve">Lo que cuesta en pauta traer una venta</t>
  </si>
  <si>
    <t xml:space="preserve">Sobre el precio de venta</t>
  </si>
  <si>
    <t xml:space="preserve">Qué porcentaje del precio se va en pauta</t>
  </si>
  <si>
    <t xml:space="preserve">Todo lo amarillo es un supuesto editable. Cambialo y el resto se recalcula. No hay historial de conversiones de esta cuenta, así que las tasas de cotización y de cierre son de referencia, no medidas. Son estimaciones, no promesas. El margen de cada UPS no lo tengo: el retorno está calculado sobre ingreso.</t>
  </si>
  <si>
    <t xml:space="preserve">Grupo</t>
  </si>
  <si>
    <t xml:space="preserve">Keyword</t>
  </si>
  <si>
    <t xml:space="preserve">Concordancia</t>
  </si>
  <si>
    <t xml:space="preserve">CPC tope COP</t>
  </si>
  <si>
    <t xml:space="preserve">Prioridad</t>
  </si>
  <si>
    <t xml:space="preserve">Landing</t>
  </si>
  <si>
    <t xml:space="preserve">ups online 3kva</t>
  </si>
  <si>
    <t xml:space="preserve">Exacta</t>
  </si>
  <si>
    <t xml:space="preserve">Alta</t>
  </si>
  <si>
    <t xml:space="preserve">https://netpowerit.co/producto/ups-online-monofasica-sat-uol3</t>
  </si>
  <si>
    <t xml:space="preserve">ups 3kva</t>
  </si>
  <si>
    <t xml:space="preserve">ups online 3000va</t>
  </si>
  <si>
    <t xml:space="preserve">ups 3000va</t>
  </si>
  <si>
    <t xml:space="preserve">ups online doble conversion 3kva</t>
  </si>
  <si>
    <t xml:space="preserve">Frase</t>
  </si>
  <si>
    <t xml:space="preserve">ups 3kva precio</t>
  </si>
  <si>
    <t xml:space="preserve">comprar ups 3kva</t>
  </si>
  <si>
    <t xml:space="preserve">ups online para servidor</t>
  </si>
  <si>
    <t xml:space="preserve">Media</t>
  </si>
  <si>
    <t xml:space="preserve">ups para rack servidor</t>
  </si>
  <si>
    <t xml:space="preserve">ups online doble conversion</t>
  </si>
  <si>
    <t xml:space="preserve">ups sat uol3000</t>
  </si>
  <si>
    <t xml:space="preserve">ups online monofasica</t>
  </si>
  <si>
    <t xml:space="preserve">ups 6kva</t>
  </si>
  <si>
    <t xml:space="preserve">https://netpowerit.co/producto/ups-online-bifasica-sat-uol600</t>
  </si>
  <si>
    <t xml:space="preserve">ups online 6kva</t>
  </si>
  <si>
    <t xml:space="preserve">ups 6000va</t>
  </si>
  <si>
    <t xml:space="preserve">ups bifasica</t>
  </si>
  <si>
    <t xml:space="preserve">ups 220v trifasica</t>
  </si>
  <si>
    <t xml:space="preserve">ups online 220v</t>
  </si>
  <si>
    <t xml:space="preserve">ups 6kva precio</t>
  </si>
  <si>
    <t xml:space="preserve">ups para data center</t>
  </si>
  <si>
    <t xml:space="preserve">ups industrial</t>
  </si>
  <si>
    <t xml:space="preserve">ups sat uol6000</t>
  </si>
  <si>
    <t xml:space="preserve">22 keywords, todas en exacta o frase. Cero amplia. Con $300.000 no alcanza para explorar: cada clic tiene que ser de alguien que ya sabe qué capacidad necesita. Las genéricas del plan de agosto (ups precio, ups para una pc, mini ups) quedan fuera a propósito: traen volumen pero de un comprador que no va a pagar $1.700.000.</t>
  </si>
  <si>
    <t xml:space="preserve">Negativa</t>
  </si>
  <si>
    <t xml:space="preserve">Por qué</t>
  </si>
  <si>
    <t xml:space="preserve">tracking</t>
  </si>
  <si>
    <t xml:space="preserve">Paquetería UPS. 'ups' tiene 40.500 búsquedas/mes en Colombia y casi todas son de envíos. Sin esto el presupuesto se va rastreando paquetes</t>
  </si>
  <si>
    <t xml:space="preserve">track</t>
  </si>
  <si>
    <t xml:space="preserve">rastreo</t>
  </si>
  <si>
    <t xml:space="preserve">rastrear</t>
  </si>
  <si>
    <t xml:space="preserve">guia</t>
  </si>
  <si>
    <t xml:space="preserve">guía</t>
  </si>
  <si>
    <t xml:space="preserve">envio</t>
  </si>
  <si>
    <t xml:space="preserve">envío</t>
  </si>
  <si>
    <t xml:space="preserve">envios</t>
  </si>
  <si>
    <t xml:space="preserve">paquete</t>
  </si>
  <si>
    <t xml:space="preserve">courier</t>
  </si>
  <si>
    <t xml:space="preserve">store</t>
  </si>
  <si>
    <t xml:space="preserve">tienda ups</t>
  </si>
  <si>
    <t xml:space="preserve">oficina</t>
  </si>
  <si>
    <t xml:space="preserve">sucursal</t>
  </si>
  <si>
    <t xml:space="preserve">telefono</t>
  </si>
  <si>
    <t xml:space="preserve">teléfono</t>
  </si>
  <si>
    <t xml:space="preserve">jobs</t>
  </si>
  <si>
    <t xml:space="preserve">empleo</t>
  </si>
  <si>
    <t xml:space="preserve">trabajar</t>
  </si>
  <si>
    <t xml:space="preserve">cerca de mi</t>
  </si>
  <si>
    <t xml:space="preserve">usa</t>
  </si>
  <si>
    <t xml:space="preserve">eeuu</t>
  </si>
  <si>
    <t xml:space="preserve">push</t>
  </si>
  <si>
    <t xml:space="preserve">Inglés: push ups, mock ups, glow ups</t>
  </si>
  <si>
    <t xml:space="preserve">pull</t>
  </si>
  <si>
    <t xml:space="preserve">sit</t>
  </si>
  <si>
    <t xml:space="preserve">chin</t>
  </si>
  <si>
    <t xml:space="preserve">muscle</t>
  </si>
  <si>
    <t xml:space="preserve">mock</t>
  </si>
  <si>
    <t xml:space="preserve">glow</t>
  </si>
  <si>
    <t xml:space="preserve">grown</t>
  </si>
  <si>
    <t xml:space="preserve">step</t>
  </si>
  <si>
    <t xml:space="preserve">warm</t>
  </si>
  <si>
    <t xml:space="preserve">close</t>
  </si>
  <si>
    <t xml:space="preserve">throw</t>
  </si>
  <si>
    <t xml:space="preserve">pop</t>
  </si>
  <si>
    <t xml:space="preserve">sign</t>
  </si>
  <si>
    <t xml:space="preserve">make</t>
  </si>
  <si>
    <t xml:space="preserve">line</t>
  </si>
  <si>
    <t xml:space="preserve">start</t>
  </si>
  <si>
    <t xml:space="preserve">set</t>
  </si>
  <si>
    <t xml:space="preserve">back</t>
  </si>
  <si>
    <t xml:space="preserve">que es</t>
  </si>
  <si>
    <t xml:space="preserve">Intención informativa o de servicio. No compra</t>
  </si>
  <si>
    <t xml:space="preserve">qué es</t>
  </si>
  <si>
    <t xml:space="preserve">que significa</t>
  </si>
  <si>
    <t xml:space="preserve">curso</t>
  </si>
  <si>
    <t xml:space="preserve">gratis</t>
  </si>
  <si>
    <t xml:space="preserve">usado</t>
  </si>
  <si>
    <t xml:space="preserve">usada</t>
  </si>
  <si>
    <t xml:space="preserve">segunda</t>
  </si>
  <si>
    <t xml:space="preserve">reparacion</t>
  </si>
  <si>
    <t xml:space="preserve">reparación</t>
  </si>
  <si>
    <t xml:space="preserve">alquiler</t>
  </si>
  <si>
    <t xml:space="preserve">arriendo</t>
  </si>
  <si>
    <t xml:space="preserve">manual</t>
  </si>
  <si>
    <t xml:space="preserve">pdf</t>
  </si>
  <si>
    <t xml:space="preserve">simbolo</t>
  </si>
  <si>
    <t xml:space="preserve">significado</t>
  </si>
  <si>
    <t xml:space="preserve">como funciona</t>
  </si>
  <si>
    <t xml:space="preserve">500va</t>
  </si>
  <si>
    <t xml:space="preserve">NUEVA: capacidad o tipo por debajo del producto pautado. Evita pagar clics de quien busca un UPS de $300.000</t>
  </si>
  <si>
    <t xml:space="preserve">600va</t>
  </si>
  <si>
    <t xml:space="preserve">650va</t>
  </si>
  <si>
    <t xml:space="preserve">750va</t>
  </si>
  <si>
    <t xml:space="preserve">800va</t>
  </si>
  <si>
    <t xml:space="preserve">1000va</t>
  </si>
  <si>
    <t xml:space="preserve">1kva</t>
  </si>
  <si>
    <t xml:space="preserve">1500va</t>
  </si>
  <si>
    <t xml:space="preserve">2000va</t>
  </si>
  <si>
    <t xml:space="preserve">2kva</t>
  </si>
  <si>
    <t xml:space="preserve">interactiva</t>
  </si>
  <si>
    <t xml:space="preserve">regulador</t>
  </si>
  <si>
    <t xml:space="preserve">mini ups</t>
  </si>
  <si>
    <t xml:space="preserve">ups para una pc</t>
  </si>
  <si>
    <t xml:space="preserve">ups para pc</t>
  </si>
  <si>
    <t xml:space="preserve">apc</t>
  </si>
  <si>
    <t xml:space="preserve">OPCIONAL: marca competidora</t>
  </si>
  <si>
    <t xml:space="preserve">forza</t>
  </si>
  <si>
    <t xml:space="preserve">cdp</t>
  </si>
  <si>
    <t xml:space="preserve">unitec</t>
  </si>
  <si>
    <t xml:space="preserve">powest</t>
  </si>
  <si>
    <t xml:space="preserve">vertiv</t>
  </si>
  <si>
    <t xml:space="preserve">eaton</t>
  </si>
  <si>
    <t xml:space="preserve">tripp lite</t>
  </si>
  <si>
    <t xml:space="preserve">Tipo</t>
  </si>
  <si>
    <t xml:space="preserve">Nº</t>
  </si>
  <si>
    <t xml:space="preserve">Texto</t>
  </si>
  <si>
    <t xml:space="preserve">Caract.</t>
  </si>
  <si>
    <t xml:space="preserve">Límite</t>
  </si>
  <si>
    <t xml:space="preserve">Título</t>
  </si>
  <si>
    <t xml:space="preserve">UPS Online SAT 3 kVA</t>
  </si>
  <si>
    <t xml:space="preserve">UPS 3 kVA Doble Conversión</t>
  </si>
  <si>
    <t xml:space="preserve">UPS Online 3000 VA con LCD</t>
  </si>
  <si>
    <t xml:space="preserve">UPS para Servidores 3 kVA</t>
  </si>
  <si>
    <t xml:space="preserve">UPS Online SAT UOL3000</t>
  </si>
  <si>
    <t xml:space="preserve">Cotiza tu UPS 3 kVA Hoy</t>
  </si>
  <si>
    <t xml:space="preserve">Onda Senoidal Pura 3 kVA</t>
  </si>
  <si>
    <t xml:space="preserve">Distribuidor Oficial SAT</t>
  </si>
  <si>
    <t xml:space="preserve">Entrega en Toda Colombia</t>
  </si>
  <si>
    <t xml:space="preserve">Garantía Oficial de Fábrica</t>
  </si>
  <si>
    <t xml:space="preserve">UPS 3 kVA para Rack o Torre</t>
  </si>
  <si>
    <t xml:space="preserve">Respaldo para Equipo Crítico</t>
  </si>
  <si>
    <t xml:space="preserve">Descripción</t>
  </si>
  <si>
    <t xml:space="preserve">Doble conversión real de 3 kVA con onda senoidal pura y pantalla LCD. Cotiza hoy.</t>
  </si>
  <si>
    <t xml:space="preserve">Protege servidores y equipos críticos. Distribuidor oficial SAT con garantía de fábrica.</t>
  </si>
  <si>
    <t xml:space="preserve">UPS Online SAT UOL3000. Stock disponible, entrega nacional y asesoría técnica incluida.</t>
  </si>
  <si>
    <t xml:space="preserve">¿No sabés qué capacidad necesitás? Te lo calculamos con tu carga real, sin costo.</t>
  </si>
  <si>
    <t xml:space="preserve">Ruta visible</t>
  </si>
  <si>
    <t xml:space="preserve">ups-online-3kva</t>
  </si>
  <si>
    <t xml:space="preserve">sat</t>
  </si>
  <si>
    <t xml:space="preserve">UPS Online SAT 6 kVA</t>
  </si>
  <si>
    <t xml:space="preserve">UPS Bifásica 6 kVA 220V</t>
  </si>
  <si>
    <t xml:space="preserve">UPS 6000 VA Doble Conversión</t>
  </si>
  <si>
    <t xml:space="preserve">UPS para Data Center 6 kVA</t>
  </si>
  <si>
    <t xml:space="preserve">UPS Online SAT UOL6000</t>
  </si>
  <si>
    <t xml:space="preserve">Cotiza tu UPS 6 kVA Hoy</t>
  </si>
  <si>
    <t xml:space="preserve">UPS Industrial 6 kVA 220V</t>
  </si>
  <si>
    <t xml:space="preserve">Onda Senoidal Pura 6 kVA</t>
  </si>
  <si>
    <t xml:space="preserve">Respaldo de Alta Capacidad</t>
  </si>
  <si>
    <t xml:space="preserve">UPS Online bifásica de 6 kVA a 220V con LCD. Para racks, data center e industria.</t>
  </si>
  <si>
    <t xml:space="preserve">Doble conversión real de alta capacidad. Distribuidor oficial SAT con garantía.</t>
  </si>
  <si>
    <t xml:space="preserve">UPS Online SAT UOL6000. Asesoría técnica y dimensionamiento con tu carga real.</t>
  </si>
  <si>
    <t xml:space="preserve">Stock disponible y entrega en toda Colombia. Hablás con un ingeniero, no con un bot.</t>
  </si>
  <si>
    <t xml:space="preserve">ups-online-6kva</t>
  </si>
  <si>
    <t xml:space="preserve">#</t>
  </si>
  <si>
    <t xml:space="preserve">Qué falta</t>
  </si>
  <si>
    <t xml:space="preserve">Quién</t>
  </si>
  <si>
    <t xml:space="preserve">Bloquea</t>
  </si>
  <si>
    <t xml:space="preserve">Cargar $1.700.000 al UOL3000 y $4.700.000 al UOL6000. Hoy los dos están en $0 en la base.</t>
  </si>
  <si>
    <t xml:space="preserve">Netpower</t>
  </si>
  <si>
    <t xml:space="preserve">Sí</t>
  </si>
  <si>
    <t xml:space="preserve">Aclarar el voltaje del UOL6000: la ficha dice 120V y vos me pasaste 220V. El anuncio y la ficha tienen que decir lo mismo o el cliente llega y se va.</t>
  </si>
  <si>
    <t xml:space="preserve">Subir a producción el commit del tag de Google Ads. Está commiteado, falta push y deploy.</t>
  </si>
  <si>
    <t xml:space="preserve">Mafe</t>
  </si>
  <si>
    <t xml:space="preserve">Crear la conversión de cotización en Google Ads y pegar su identificador en VITE_ADS_CONV_COTIZACION. O importar cotizacion_enviada desde GA4.</t>
  </si>
  <si>
    <t xml:space="preserve">Pauta</t>
  </si>
  <si>
    <t xml:space="preserve">Probar una cotización real y ver que llega a Google Ads antes del primer clic.</t>
  </si>
  <si>
    <t xml:space="preserve">Cargar las 71 negativas. Sin ellas 'ups' se lleva el presupuesto en paquetería.</t>
  </si>
  <si>
    <t xml:space="preserve">Bajar el tiempo a contenido de la ficha: hoy 4,6 s. Es el arreglo de mayor impacto y no bloquea el encendido, pero cada día que pasa se paga en CPC.</t>
  </si>
  <si>
    <t xml:space="preserve">Desarrollo</t>
  </si>
  <si>
    <t xml:space="preserve">No</t>
  </si>
  <si>
    <t xml:space="preserve">Formulario de cotización en la propia ficha, en vez de tres botones que sacan al visitante.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</si>
</sst>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General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  <c r="B1" s="1"/>
    </row>
    <row r="3" customFormat="false" ht="42" hidden="false" customHeight="true" outlineLevel="0" collapsed="false">
      <c r="A3" s="2" t="s">
        <v>1</v>
      </c>
      <c r="B3" s="3" t="s">
        <v>2</v>
      </c>
    </row>
    <row r="5" customFormat="false" ht="42" hidden="false" customHeight="true" outlineLevel="0" collapsed="false">
      <c r="A5" s="2" t="s">
        <v>3</v>
      </c>
      <c r="B5" s="3" t="s">
        <v>4</v>
      </c>
    </row>
    <row r="7" customFormat="false" ht="42" hidden="false" customHeight="true" outlineLevel="0" collapsed="false">
      <c r="A7" s="2" t="s">
        <v>5</v>
      </c>
      <c r="B7" s="3" t="s">
        <v>6</v>
      </c>
    </row>
    <row r="9" customFormat="false" ht="42" hidden="false" customHeight="true" outlineLevel="0" collapsed="false">
      <c r="A9" s="2" t="s">
        <v>7</v>
      </c>
      <c r="B9" s="3" t="s">
        <v>8</v>
      </c>
    </row>
    <row r="11" customFormat="false" ht="42" hidden="false" customHeight="true" outlineLevel="0" collapsed="false">
      <c r="A11" s="2" t="s">
        <v>9</v>
      </c>
      <c r="B11" s="3" t="s">
        <v>10</v>
      </c>
    </row>
    <row r="14" customFormat="false" ht="15" hidden="false" customHeight="false" outlineLevel="0" collapsed="false">
      <c r="A14" s="4" t="s">
        <v>11</v>
      </c>
    </row>
    <row r="15" customFormat="false" ht="45.75" hidden="false" customHeight="true" outlineLevel="0" collapsed="false">
      <c r="A15" s="5" t="s">
        <v>12</v>
      </c>
      <c r="B15" s="3" t="s">
        <v>13</v>
      </c>
    </row>
    <row r="16" customFormat="false" ht="45.75" hidden="false" customHeight="true" outlineLevel="0" collapsed="false">
      <c r="A16" s="5" t="s">
        <v>14</v>
      </c>
      <c r="B16" s="3" t="s">
        <v>15</v>
      </c>
    </row>
    <row r="17" customFormat="false" ht="45.75" hidden="false" customHeight="true" outlineLevel="0" collapsed="false">
      <c r="A17" s="5" t="s">
        <v>16</v>
      </c>
      <c r="B17" s="3" t="s">
        <v>17</v>
      </c>
    </row>
    <row r="18" customFormat="false" ht="45.75" hidden="false" customHeight="true" outlineLevel="0" collapsed="false">
      <c r="A18" s="5" t="s">
        <v>18</v>
      </c>
      <c r="B18" s="3" t="s">
        <v>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6" t="s">
        <v>20</v>
      </c>
    </row>
    <row r="3" customFormat="false" ht="15" hidden="false" customHeight="false" outlineLevel="0" collapsed="false">
      <c r="A3" s="7"/>
      <c r="B3" s="8" t="s">
        <v>21</v>
      </c>
      <c r="C3" s="8" t="s">
        <v>22</v>
      </c>
      <c r="D3" s="8" t="s">
        <v>23</v>
      </c>
    </row>
    <row r="4" customFormat="false" ht="25.5" hidden="false" customHeight="true" outlineLevel="0" collapsed="false">
      <c r="A4" s="9" t="s">
        <v>24</v>
      </c>
      <c r="B4" s="10" t="n">
        <v>1700000</v>
      </c>
      <c r="C4" s="10" t="n">
        <v>4700000</v>
      </c>
      <c r="D4" s="11" t="s">
        <v>25</v>
      </c>
    </row>
    <row r="5" customFormat="false" ht="25.5" hidden="false" customHeight="true" outlineLevel="0" collapsed="false">
      <c r="A5" s="9" t="s">
        <v>26</v>
      </c>
      <c r="B5" s="12" t="n">
        <v>0.65</v>
      </c>
      <c r="C5" s="12" t="n">
        <v>0.35</v>
      </c>
      <c r="D5" s="11" t="s">
        <v>27</v>
      </c>
    </row>
    <row r="6" customFormat="false" ht="25.5" hidden="false" customHeight="true" outlineLevel="0" collapsed="false">
      <c r="A6" s="9" t="s">
        <v>28</v>
      </c>
      <c r="B6" s="13" t="n">
        <f aca="false">ROUND(300000*B5,0)</f>
        <v>195000</v>
      </c>
      <c r="C6" s="13" t="n">
        <f aca="false">ROUND(300000*C5,0)</f>
        <v>105000</v>
      </c>
      <c r="D6" s="11" t="s">
        <v>29</v>
      </c>
    </row>
    <row r="7" customFormat="false" ht="25.5" hidden="false" customHeight="true" outlineLevel="0" collapsed="false">
      <c r="A7" s="9" t="s">
        <v>30</v>
      </c>
      <c r="B7" s="10" t="n">
        <v>2500</v>
      </c>
      <c r="C7" s="10" t="n">
        <v>3500</v>
      </c>
      <c r="D7" s="11" t="s">
        <v>31</v>
      </c>
    </row>
    <row r="8" customFormat="false" ht="25.5" hidden="false" customHeight="true" outlineLevel="0" collapsed="false">
      <c r="A8" s="9" t="s">
        <v>32</v>
      </c>
      <c r="B8" s="10" t="n">
        <v>1800</v>
      </c>
      <c r="C8" s="10" t="n">
        <v>2400</v>
      </c>
      <c r="D8" s="11" t="s">
        <v>33</v>
      </c>
    </row>
    <row r="9" customFormat="false" ht="25.5" hidden="false" customHeight="true" outlineLevel="0" collapsed="false">
      <c r="A9" s="9" t="s">
        <v>34</v>
      </c>
      <c r="B9" s="14" t="n">
        <f aca="false">ROUND(B6/B8,0)</f>
        <v>108</v>
      </c>
      <c r="C9" s="14" t="n">
        <f aca="false">ROUND(C6/C8,0)</f>
        <v>44</v>
      </c>
      <c r="D9" s="11" t="s">
        <v>35</v>
      </c>
    </row>
    <row r="10" customFormat="false" ht="25.5" hidden="false" customHeight="true" outlineLevel="0" collapsed="false">
      <c r="A10" s="9" t="s">
        <v>36</v>
      </c>
      <c r="B10" s="12" t="n">
        <v>0.03</v>
      </c>
      <c r="C10" s="12" t="n">
        <v>0.03</v>
      </c>
      <c r="D10" s="11" t="s">
        <v>37</v>
      </c>
    </row>
    <row r="11" customFormat="false" ht="25.5" hidden="false" customHeight="true" outlineLevel="0" collapsed="false">
      <c r="A11" s="9" t="s">
        <v>38</v>
      </c>
      <c r="B11" s="14" t="n">
        <f aca="false">ROUND(B9*B10,1)</f>
        <v>3.2</v>
      </c>
      <c r="C11" s="14" t="n">
        <f aca="false">ROUND(C9*C10,1)</f>
        <v>1.3</v>
      </c>
      <c r="D11" s="11" t="s">
        <v>39</v>
      </c>
    </row>
    <row r="12" customFormat="false" ht="25.5" hidden="false" customHeight="true" outlineLevel="0" collapsed="false">
      <c r="A12" s="9" t="s">
        <v>40</v>
      </c>
      <c r="B12" s="12" t="n">
        <v>0.25</v>
      </c>
      <c r="C12" s="12" t="n">
        <v>0.2</v>
      </c>
      <c r="D12" s="11" t="s">
        <v>41</v>
      </c>
    </row>
    <row r="13" customFormat="false" ht="25.5" hidden="false" customHeight="true" outlineLevel="0" collapsed="false">
      <c r="A13" s="9" t="s">
        <v>42</v>
      </c>
      <c r="B13" s="14" t="n">
        <f aca="false">ROUND(B11*B12,2)</f>
        <v>0.8</v>
      </c>
      <c r="C13" s="14" t="n">
        <f aca="false">ROUND(C11*C12,2)</f>
        <v>0.26</v>
      </c>
      <c r="D13" s="11" t="s">
        <v>43</v>
      </c>
    </row>
    <row r="14" customFormat="false" ht="25.5" hidden="false" customHeight="true" outlineLevel="0" collapsed="false">
      <c r="A14" s="9" t="s">
        <v>44</v>
      </c>
      <c r="B14" s="13" t="n">
        <f aca="false">ROUND(B13*B4,0)</f>
        <v>1360000</v>
      </c>
      <c r="C14" s="13" t="n">
        <f aca="false">ROUND(C13*C4,0)</f>
        <v>1222000</v>
      </c>
      <c r="D14" s="11" t="s">
        <v>45</v>
      </c>
    </row>
    <row r="15" customFormat="false" ht="25.5" hidden="false" customHeight="true" outlineLevel="0" collapsed="false">
      <c r="A15" s="9" t="s">
        <v>46</v>
      </c>
      <c r="B15" s="15" t="n">
        <f aca="false">ROUND(B14/B6,1)</f>
        <v>7</v>
      </c>
      <c r="C15" s="15" t="n">
        <f aca="false">ROUND(C14/C6,1)</f>
        <v>11.6</v>
      </c>
      <c r="D15" s="11" t="s">
        <v>47</v>
      </c>
    </row>
    <row r="16" customFormat="false" ht="25.5" hidden="false" customHeight="true" outlineLevel="0" collapsed="false">
      <c r="A16" s="9" t="s">
        <v>48</v>
      </c>
      <c r="B16" s="14" t="n">
        <f aca="false">ROUND(1/B12,1)</f>
        <v>4</v>
      </c>
      <c r="C16" s="14" t="n">
        <f aca="false">ROUND(1/C12,1)</f>
        <v>5</v>
      </c>
      <c r="D16" s="11" t="s">
        <v>49</v>
      </c>
    </row>
    <row r="17" customFormat="false" ht="25.5" hidden="false" customHeight="true" outlineLevel="0" collapsed="false">
      <c r="A17" s="9" t="s">
        <v>50</v>
      </c>
      <c r="B17" s="13" t="n">
        <f aca="false">ROUND(B16*B8/B10,0)</f>
        <v>240000</v>
      </c>
      <c r="C17" s="13" t="n">
        <f aca="false">ROUND(C16*C8/C10,0)</f>
        <v>400000</v>
      </c>
      <c r="D17" s="11" t="s">
        <v>51</v>
      </c>
    </row>
    <row r="18" customFormat="false" ht="25.5" hidden="false" customHeight="true" outlineLevel="0" collapsed="false">
      <c r="A18" s="9" t="s">
        <v>52</v>
      </c>
      <c r="B18" s="16" t="n">
        <f aca="false">ROUND(B17/B4,3)</f>
        <v>0.141</v>
      </c>
      <c r="C18" s="16" t="n">
        <f aca="false">ROUND(C17/C4,3)</f>
        <v>0.085</v>
      </c>
      <c r="D18" s="11" t="s">
        <v>53</v>
      </c>
    </row>
    <row r="20" customFormat="false" ht="42" hidden="false" customHeight="true" outlineLevel="0" collapsed="false">
      <c r="A20" s="17" t="s">
        <v>54</v>
      </c>
      <c r="B20" s="17"/>
      <c r="C20" s="17"/>
      <c r="D20" s="17"/>
    </row>
  </sheetData>
  <mergeCells count="1"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23.85" hidden="false" customHeight="false" outlineLevel="0" collapsed="false">
      <c r="A1" s="18" t="s">
        <v>55</v>
      </c>
      <c r="B1" s="18" t="s">
        <v>56</v>
      </c>
      <c r="C1" s="18" t="s">
        <v>57</v>
      </c>
      <c r="D1" s="18" t="s">
        <v>58</v>
      </c>
      <c r="E1" s="18" t="s">
        <v>59</v>
      </c>
      <c r="F1" s="18" t="s">
        <v>60</v>
      </c>
    </row>
    <row r="2" customFormat="false" ht="23.85" hidden="false" customHeight="false" outlineLevel="0" collapsed="false">
      <c r="A2" s="19" t="s">
        <v>21</v>
      </c>
      <c r="B2" s="19" t="s">
        <v>61</v>
      </c>
      <c r="C2" s="19" t="s">
        <v>62</v>
      </c>
      <c r="D2" s="20" t="n">
        <v>2500</v>
      </c>
      <c r="E2" s="19" t="s">
        <v>63</v>
      </c>
      <c r="F2" s="19" t="s">
        <v>64</v>
      </c>
    </row>
    <row r="3" customFormat="false" ht="23.85" hidden="false" customHeight="false" outlineLevel="0" collapsed="false">
      <c r="A3" s="19" t="s">
        <v>21</v>
      </c>
      <c r="B3" s="19" t="s">
        <v>65</v>
      </c>
      <c r="C3" s="19" t="s">
        <v>62</v>
      </c>
      <c r="D3" s="20" t="n">
        <v>2500</v>
      </c>
      <c r="E3" s="19" t="s">
        <v>63</v>
      </c>
      <c r="F3" s="19" t="s">
        <v>64</v>
      </c>
    </row>
    <row r="4" customFormat="false" ht="23.85" hidden="false" customHeight="false" outlineLevel="0" collapsed="false">
      <c r="A4" s="19" t="s">
        <v>21</v>
      </c>
      <c r="B4" s="19" t="s">
        <v>66</v>
      </c>
      <c r="C4" s="19" t="s">
        <v>62</v>
      </c>
      <c r="D4" s="20" t="n">
        <v>2500</v>
      </c>
      <c r="E4" s="19" t="s">
        <v>63</v>
      </c>
      <c r="F4" s="19" t="s">
        <v>64</v>
      </c>
    </row>
    <row r="5" customFormat="false" ht="23.85" hidden="false" customHeight="false" outlineLevel="0" collapsed="false">
      <c r="A5" s="19" t="s">
        <v>21</v>
      </c>
      <c r="B5" s="19" t="s">
        <v>67</v>
      </c>
      <c r="C5" s="19" t="s">
        <v>62</v>
      </c>
      <c r="D5" s="20" t="n">
        <v>2500</v>
      </c>
      <c r="E5" s="19" t="s">
        <v>63</v>
      </c>
      <c r="F5" s="19" t="s">
        <v>64</v>
      </c>
    </row>
    <row r="6" customFormat="false" ht="23.85" hidden="false" customHeight="false" outlineLevel="0" collapsed="false">
      <c r="A6" s="19" t="s">
        <v>21</v>
      </c>
      <c r="B6" s="19" t="s">
        <v>68</v>
      </c>
      <c r="C6" s="19" t="s">
        <v>69</v>
      </c>
      <c r="D6" s="20" t="n">
        <v>2500</v>
      </c>
      <c r="E6" s="19" t="s">
        <v>63</v>
      </c>
      <c r="F6" s="19" t="s">
        <v>64</v>
      </c>
    </row>
    <row r="7" customFormat="false" ht="23.85" hidden="false" customHeight="false" outlineLevel="0" collapsed="false">
      <c r="A7" s="19" t="s">
        <v>21</v>
      </c>
      <c r="B7" s="19" t="s">
        <v>70</v>
      </c>
      <c r="C7" s="19" t="s">
        <v>62</v>
      </c>
      <c r="D7" s="20" t="n">
        <v>2500</v>
      </c>
      <c r="E7" s="19" t="s">
        <v>63</v>
      </c>
      <c r="F7" s="19" t="s">
        <v>64</v>
      </c>
    </row>
    <row r="8" customFormat="false" ht="23.85" hidden="false" customHeight="false" outlineLevel="0" collapsed="false">
      <c r="A8" s="19" t="s">
        <v>21</v>
      </c>
      <c r="B8" s="19" t="s">
        <v>71</v>
      </c>
      <c r="C8" s="19" t="s">
        <v>69</v>
      </c>
      <c r="D8" s="20" t="n">
        <v>2500</v>
      </c>
      <c r="E8" s="19" t="s">
        <v>63</v>
      </c>
      <c r="F8" s="19" t="s">
        <v>64</v>
      </c>
    </row>
    <row r="9" customFormat="false" ht="23.85" hidden="false" customHeight="false" outlineLevel="0" collapsed="false">
      <c r="A9" s="19" t="s">
        <v>21</v>
      </c>
      <c r="B9" s="19" t="s">
        <v>72</v>
      </c>
      <c r="C9" s="19" t="s">
        <v>69</v>
      </c>
      <c r="D9" s="20" t="n">
        <v>2000</v>
      </c>
      <c r="E9" s="19" t="s">
        <v>73</v>
      </c>
      <c r="F9" s="19" t="s">
        <v>64</v>
      </c>
    </row>
    <row r="10" customFormat="false" ht="23.85" hidden="false" customHeight="false" outlineLevel="0" collapsed="false">
      <c r="A10" s="19" t="s">
        <v>21</v>
      </c>
      <c r="B10" s="19" t="s">
        <v>74</v>
      </c>
      <c r="C10" s="19" t="s">
        <v>69</v>
      </c>
      <c r="D10" s="20" t="n">
        <v>2000</v>
      </c>
      <c r="E10" s="19" t="s">
        <v>73</v>
      </c>
      <c r="F10" s="19" t="s">
        <v>64</v>
      </c>
    </row>
    <row r="11" customFormat="false" ht="23.85" hidden="false" customHeight="false" outlineLevel="0" collapsed="false">
      <c r="A11" s="19" t="s">
        <v>21</v>
      </c>
      <c r="B11" s="19" t="s">
        <v>75</v>
      </c>
      <c r="C11" s="19" t="s">
        <v>69</v>
      </c>
      <c r="D11" s="20" t="n">
        <v>1800</v>
      </c>
      <c r="E11" s="19" t="s">
        <v>73</v>
      </c>
      <c r="F11" s="19" t="s">
        <v>64</v>
      </c>
    </row>
    <row r="12" customFormat="false" ht="23.85" hidden="false" customHeight="false" outlineLevel="0" collapsed="false">
      <c r="A12" s="19" t="s">
        <v>21</v>
      </c>
      <c r="B12" s="19" t="s">
        <v>76</v>
      </c>
      <c r="C12" s="19" t="s">
        <v>62</v>
      </c>
      <c r="D12" s="20" t="n">
        <v>2000</v>
      </c>
      <c r="E12" s="19" t="s">
        <v>73</v>
      </c>
      <c r="F12" s="19" t="s">
        <v>64</v>
      </c>
    </row>
    <row r="13" customFormat="false" ht="23.85" hidden="false" customHeight="false" outlineLevel="0" collapsed="false">
      <c r="A13" s="19" t="s">
        <v>21</v>
      </c>
      <c r="B13" s="19" t="s">
        <v>77</v>
      </c>
      <c r="C13" s="19" t="s">
        <v>69</v>
      </c>
      <c r="D13" s="20" t="n">
        <v>1800</v>
      </c>
      <c r="E13" s="19" t="s">
        <v>73</v>
      </c>
      <c r="F13" s="19" t="s">
        <v>64</v>
      </c>
    </row>
    <row r="14" customFormat="false" ht="23.85" hidden="false" customHeight="false" outlineLevel="0" collapsed="false">
      <c r="A14" s="21" t="s">
        <v>22</v>
      </c>
      <c r="B14" s="21" t="s">
        <v>78</v>
      </c>
      <c r="C14" s="21" t="s">
        <v>62</v>
      </c>
      <c r="D14" s="22" t="n">
        <v>3500</v>
      </c>
      <c r="E14" s="21" t="s">
        <v>63</v>
      </c>
      <c r="F14" s="21" t="s">
        <v>79</v>
      </c>
    </row>
    <row r="15" customFormat="false" ht="23.85" hidden="false" customHeight="false" outlineLevel="0" collapsed="false">
      <c r="A15" s="21" t="s">
        <v>22</v>
      </c>
      <c r="B15" s="21" t="s">
        <v>80</v>
      </c>
      <c r="C15" s="21" t="s">
        <v>62</v>
      </c>
      <c r="D15" s="22" t="n">
        <v>3500</v>
      </c>
      <c r="E15" s="21" t="s">
        <v>63</v>
      </c>
      <c r="F15" s="21" t="s">
        <v>79</v>
      </c>
    </row>
    <row r="16" customFormat="false" ht="23.85" hidden="false" customHeight="false" outlineLevel="0" collapsed="false">
      <c r="A16" s="21" t="s">
        <v>22</v>
      </c>
      <c r="B16" s="21" t="s">
        <v>81</v>
      </c>
      <c r="C16" s="21" t="s">
        <v>62</v>
      </c>
      <c r="D16" s="22" t="n">
        <v>3500</v>
      </c>
      <c r="E16" s="21" t="s">
        <v>63</v>
      </c>
      <c r="F16" s="21" t="s">
        <v>79</v>
      </c>
    </row>
    <row r="17" customFormat="false" ht="23.85" hidden="false" customHeight="false" outlineLevel="0" collapsed="false">
      <c r="A17" s="21" t="s">
        <v>22</v>
      </c>
      <c r="B17" s="21" t="s">
        <v>82</v>
      </c>
      <c r="C17" s="21" t="s">
        <v>69</v>
      </c>
      <c r="D17" s="22" t="n">
        <v>3500</v>
      </c>
      <c r="E17" s="21" t="s">
        <v>63</v>
      </c>
      <c r="F17" s="21" t="s">
        <v>79</v>
      </c>
    </row>
    <row r="18" customFormat="false" ht="23.85" hidden="false" customHeight="false" outlineLevel="0" collapsed="false">
      <c r="A18" s="21" t="s">
        <v>22</v>
      </c>
      <c r="B18" s="21" t="s">
        <v>83</v>
      </c>
      <c r="C18" s="21" t="s">
        <v>69</v>
      </c>
      <c r="D18" s="22" t="n">
        <v>3000</v>
      </c>
      <c r="E18" s="21" t="s">
        <v>73</v>
      </c>
      <c r="F18" s="21" t="s">
        <v>79</v>
      </c>
    </row>
    <row r="19" customFormat="false" ht="23.85" hidden="false" customHeight="false" outlineLevel="0" collapsed="false">
      <c r="A19" s="21" t="s">
        <v>22</v>
      </c>
      <c r="B19" s="21" t="s">
        <v>84</v>
      </c>
      <c r="C19" s="21" t="s">
        <v>69</v>
      </c>
      <c r="D19" s="22" t="n">
        <v>3000</v>
      </c>
      <c r="E19" s="21" t="s">
        <v>63</v>
      </c>
      <c r="F19" s="21" t="s">
        <v>79</v>
      </c>
    </row>
    <row r="20" customFormat="false" ht="23.85" hidden="false" customHeight="false" outlineLevel="0" collapsed="false">
      <c r="A20" s="21" t="s">
        <v>22</v>
      </c>
      <c r="B20" s="21" t="s">
        <v>85</v>
      </c>
      <c r="C20" s="21" t="s">
        <v>62</v>
      </c>
      <c r="D20" s="22" t="n">
        <v>3500</v>
      </c>
      <c r="E20" s="21" t="s">
        <v>63</v>
      </c>
      <c r="F20" s="21" t="s">
        <v>79</v>
      </c>
    </row>
    <row r="21" customFormat="false" ht="23.85" hidden="false" customHeight="false" outlineLevel="0" collapsed="false">
      <c r="A21" s="21" t="s">
        <v>22</v>
      </c>
      <c r="B21" s="21" t="s">
        <v>86</v>
      </c>
      <c r="C21" s="21" t="s">
        <v>69</v>
      </c>
      <c r="D21" s="22" t="n">
        <v>3000</v>
      </c>
      <c r="E21" s="21" t="s">
        <v>73</v>
      </c>
      <c r="F21" s="21" t="s">
        <v>79</v>
      </c>
    </row>
    <row r="22" customFormat="false" ht="23.85" hidden="false" customHeight="false" outlineLevel="0" collapsed="false">
      <c r="A22" s="21" t="s">
        <v>22</v>
      </c>
      <c r="B22" s="21" t="s">
        <v>87</v>
      </c>
      <c r="C22" s="21" t="s">
        <v>69</v>
      </c>
      <c r="D22" s="22" t="n">
        <v>2500</v>
      </c>
      <c r="E22" s="21" t="s">
        <v>73</v>
      </c>
      <c r="F22" s="21" t="s">
        <v>79</v>
      </c>
    </row>
    <row r="23" customFormat="false" ht="23.85" hidden="false" customHeight="false" outlineLevel="0" collapsed="false">
      <c r="A23" s="21" t="s">
        <v>22</v>
      </c>
      <c r="B23" s="21" t="s">
        <v>88</v>
      </c>
      <c r="C23" s="21" t="s">
        <v>62</v>
      </c>
      <c r="D23" s="22" t="n">
        <v>3000</v>
      </c>
      <c r="E23" s="21" t="s">
        <v>73</v>
      </c>
      <c r="F23" s="21" t="s">
        <v>79</v>
      </c>
    </row>
    <row r="25" customFormat="false" ht="45.75" hidden="false" customHeight="true" outlineLevel="0" collapsed="false">
      <c r="A25" s="17" t="s">
        <v>89</v>
      </c>
      <c r="B25" s="17"/>
      <c r="C25" s="17"/>
      <c r="D25" s="17"/>
      <c r="E25" s="17"/>
      <c r="F25" s="17"/>
    </row>
  </sheetData>
  <autoFilter ref="A1:F23"/>
  <mergeCells count="1"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74"/>
  </cols>
  <sheetData>
    <row r="1" customFormat="false" ht="15" hidden="false" customHeight="false" outlineLevel="0" collapsed="false">
      <c r="A1" s="18" t="s">
        <v>90</v>
      </c>
      <c r="B1" s="18" t="s">
        <v>57</v>
      </c>
      <c r="C1" s="18" t="s">
        <v>91</v>
      </c>
    </row>
    <row r="2" customFormat="false" ht="23.85" hidden="false" customHeight="false" outlineLevel="0" collapsed="false">
      <c r="A2" s="3" t="s">
        <v>92</v>
      </c>
      <c r="B2" s="3" t="s">
        <v>69</v>
      </c>
      <c r="C2" s="3" t="s">
        <v>93</v>
      </c>
    </row>
    <row r="3" customFormat="false" ht="23.85" hidden="false" customHeight="false" outlineLevel="0" collapsed="false">
      <c r="A3" s="3" t="s">
        <v>94</v>
      </c>
      <c r="B3" s="3" t="s">
        <v>69</v>
      </c>
      <c r="C3" s="3" t="s">
        <v>93</v>
      </c>
    </row>
    <row r="4" customFormat="false" ht="23.85" hidden="false" customHeight="false" outlineLevel="0" collapsed="false">
      <c r="A4" s="3" t="s">
        <v>95</v>
      </c>
      <c r="B4" s="3" t="s">
        <v>69</v>
      </c>
      <c r="C4" s="3" t="s">
        <v>93</v>
      </c>
    </row>
    <row r="5" customFormat="false" ht="23.85" hidden="false" customHeight="false" outlineLevel="0" collapsed="false">
      <c r="A5" s="3" t="s">
        <v>96</v>
      </c>
      <c r="B5" s="3" t="s">
        <v>69</v>
      </c>
      <c r="C5" s="3" t="s">
        <v>93</v>
      </c>
    </row>
    <row r="6" customFormat="false" ht="23.85" hidden="false" customHeight="false" outlineLevel="0" collapsed="false">
      <c r="A6" s="3" t="s">
        <v>97</v>
      </c>
      <c r="B6" s="3" t="s">
        <v>69</v>
      </c>
      <c r="C6" s="3" t="s">
        <v>93</v>
      </c>
    </row>
    <row r="7" customFormat="false" ht="23.85" hidden="false" customHeight="false" outlineLevel="0" collapsed="false">
      <c r="A7" s="3" t="s">
        <v>98</v>
      </c>
      <c r="B7" s="3" t="s">
        <v>69</v>
      </c>
      <c r="C7" s="3" t="s">
        <v>93</v>
      </c>
    </row>
    <row r="8" customFormat="false" ht="23.85" hidden="false" customHeight="false" outlineLevel="0" collapsed="false">
      <c r="A8" s="3" t="s">
        <v>99</v>
      </c>
      <c r="B8" s="3" t="s">
        <v>69</v>
      </c>
      <c r="C8" s="3" t="s">
        <v>93</v>
      </c>
    </row>
    <row r="9" customFormat="false" ht="23.85" hidden="false" customHeight="false" outlineLevel="0" collapsed="false">
      <c r="A9" s="3" t="s">
        <v>100</v>
      </c>
      <c r="B9" s="3" t="s">
        <v>69</v>
      </c>
      <c r="C9" s="3" t="s">
        <v>93</v>
      </c>
    </row>
    <row r="10" customFormat="false" ht="23.85" hidden="false" customHeight="false" outlineLevel="0" collapsed="false">
      <c r="A10" s="3" t="s">
        <v>101</v>
      </c>
      <c r="B10" s="3" t="s">
        <v>69</v>
      </c>
      <c r="C10" s="3" t="s">
        <v>93</v>
      </c>
    </row>
    <row r="11" customFormat="false" ht="23.85" hidden="false" customHeight="false" outlineLevel="0" collapsed="false">
      <c r="A11" s="3" t="s">
        <v>102</v>
      </c>
      <c r="B11" s="3" t="s">
        <v>69</v>
      </c>
      <c r="C11" s="3" t="s">
        <v>93</v>
      </c>
    </row>
    <row r="12" customFormat="false" ht="23.85" hidden="false" customHeight="false" outlineLevel="0" collapsed="false">
      <c r="A12" s="3" t="s">
        <v>103</v>
      </c>
      <c r="B12" s="3" t="s">
        <v>69</v>
      </c>
      <c r="C12" s="3" t="s">
        <v>93</v>
      </c>
    </row>
    <row r="13" customFormat="false" ht="23.85" hidden="false" customHeight="false" outlineLevel="0" collapsed="false">
      <c r="A13" s="3" t="s">
        <v>104</v>
      </c>
      <c r="B13" s="3" t="s">
        <v>69</v>
      </c>
      <c r="C13" s="3" t="s">
        <v>93</v>
      </c>
    </row>
    <row r="14" customFormat="false" ht="23.85" hidden="false" customHeight="false" outlineLevel="0" collapsed="false">
      <c r="A14" s="3" t="s">
        <v>105</v>
      </c>
      <c r="B14" s="3" t="s">
        <v>69</v>
      </c>
      <c r="C14" s="3" t="s">
        <v>93</v>
      </c>
    </row>
    <row r="15" customFormat="false" ht="23.85" hidden="false" customHeight="false" outlineLevel="0" collapsed="false">
      <c r="A15" s="3" t="s">
        <v>106</v>
      </c>
      <c r="B15" s="3" t="s">
        <v>69</v>
      </c>
      <c r="C15" s="3" t="s">
        <v>93</v>
      </c>
    </row>
    <row r="16" customFormat="false" ht="23.85" hidden="false" customHeight="false" outlineLevel="0" collapsed="false">
      <c r="A16" s="3" t="s">
        <v>107</v>
      </c>
      <c r="B16" s="3" t="s">
        <v>69</v>
      </c>
      <c r="C16" s="3" t="s">
        <v>93</v>
      </c>
    </row>
    <row r="17" customFormat="false" ht="23.85" hidden="false" customHeight="false" outlineLevel="0" collapsed="false">
      <c r="A17" s="3" t="s">
        <v>108</v>
      </c>
      <c r="B17" s="3" t="s">
        <v>69</v>
      </c>
      <c r="C17" s="3" t="s">
        <v>93</v>
      </c>
    </row>
    <row r="18" customFormat="false" ht="23.85" hidden="false" customHeight="false" outlineLevel="0" collapsed="false">
      <c r="A18" s="3" t="s">
        <v>109</v>
      </c>
      <c r="B18" s="3" t="s">
        <v>69</v>
      </c>
      <c r="C18" s="3" t="s">
        <v>93</v>
      </c>
    </row>
    <row r="19" customFormat="false" ht="23.85" hidden="false" customHeight="false" outlineLevel="0" collapsed="false">
      <c r="A19" s="3" t="s">
        <v>110</v>
      </c>
      <c r="B19" s="3" t="s">
        <v>69</v>
      </c>
      <c r="C19" s="3" t="s">
        <v>93</v>
      </c>
    </row>
    <row r="20" customFormat="false" ht="23.85" hidden="false" customHeight="false" outlineLevel="0" collapsed="false">
      <c r="A20" s="3" t="s">
        <v>111</v>
      </c>
      <c r="B20" s="3" t="s">
        <v>69</v>
      </c>
      <c r="C20" s="3" t="s">
        <v>93</v>
      </c>
    </row>
    <row r="21" customFormat="false" ht="23.85" hidden="false" customHeight="false" outlineLevel="0" collapsed="false">
      <c r="A21" s="3" t="s">
        <v>112</v>
      </c>
      <c r="B21" s="3" t="s">
        <v>69</v>
      </c>
      <c r="C21" s="3" t="s">
        <v>93</v>
      </c>
    </row>
    <row r="22" customFormat="false" ht="23.85" hidden="false" customHeight="false" outlineLevel="0" collapsed="false">
      <c r="A22" s="3" t="s">
        <v>113</v>
      </c>
      <c r="B22" s="3" t="s">
        <v>69</v>
      </c>
      <c r="C22" s="3" t="s">
        <v>93</v>
      </c>
    </row>
    <row r="23" customFormat="false" ht="23.85" hidden="false" customHeight="false" outlineLevel="0" collapsed="false">
      <c r="A23" s="3" t="s">
        <v>114</v>
      </c>
      <c r="B23" s="3" t="s">
        <v>69</v>
      </c>
      <c r="C23" s="3" t="s">
        <v>93</v>
      </c>
    </row>
    <row r="24" customFormat="false" ht="23.85" hidden="false" customHeight="false" outlineLevel="0" collapsed="false">
      <c r="A24" s="3" t="s">
        <v>115</v>
      </c>
      <c r="B24" s="3" t="s">
        <v>69</v>
      </c>
      <c r="C24" s="3" t="s">
        <v>93</v>
      </c>
    </row>
    <row r="25" customFormat="false" ht="15" hidden="false" customHeight="false" outlineLevel="0" collapsed="false">
      <c r="A25" s="3" t="s">
        <v>116</v>
      </c>
      <c r="B25" s="3" t="s">
        <v>69</v>
      </c>
      <c r="C25" s="3" t="s">
        <v>117</v>
      </c>
    </row>
    <row r="26" customFormat="false" ht="15" hidden="false" customHeight="false" outlineLevel="0" collapsed="false">
      <c r="A26" s="3" t="s">
        <v>118</v>
      </c>
      <c r="B26" s="3" t="s">
        <v>69</v>
      </c>
      <c r="C26" s="3" t="s">
        <v>117</v>
      </c>
    </row>
    <row r="27" customFormat="false" ht="15" hidden="false" customHeight="false" outlineLevel="0" collapsed="false">
      <c r="A27" s="3" t="s">
        <v>119</v>
      </c>
      <c r="B27" s="3" t="s">
        <v>69</v>
      </c>
      <c r="C27" s="3" t="s">
        <v>117</v>
      </c>
    </row>
    <row r="28" customFormat="false" ht="15" hidden="false" customHeight="false" outlineLevel="0" collapsed="false">
      <c r="A28" s="3" t="s">
        <v>120</v>
      </c>
      <c r="B28" s="3" t="s">
        <v>69</v>
      </c>
      <c r="C28" s="3" t="s">
        <v>117</v>
      </c>
    </row>
    <row r="29" customFormat="false" ht="15" hidden="false" customHeight="false" outlineLevel="0" collapsed="false">
      <c r="A29" s="3" t="s">
        <v>121</v>
      </c>
      <c r="B29" s="3" t="s">
        <v>69</v>
      </c>
      <c r="C29" s="3" t="s">
        <v>117</v>
      </c>
    </row>
    <row r="30" customFormat="false" ht="15" hidden="false" customHeight="false" outlineLevel="0" collapsed="false">
      <c r="A30" s="3" t="s">
        <v>122</v>
      </c>
      <c r="B30" s="3" t="s">
        <v>69</v>
      </c>
      <c r="C30" s="3" t="s">
        <v>117</v>
      </c>
    </row>
    <row r="31" customFormat="false" ht="15" hidden="false" customHeight="false" outlineLevel="0" collapsed="false">
      <c r="A31" s="3" t="s">
        <v>123</v>
      </c>
      <c r="B31" s="3" t="s">
        <v>69</v>
      </c>
      <c r="C31" s="3" t="s">
        <v>117</v>
      </c>
    </row>
    <row r="32" customFormat="false" ht="15" hidden="false" customHeight="false" outlineLevel="0" collapsed="false">
      <c r="A32" s="3" t="s">
        <v>124</v>
      </c>
      <c r="B32" s="3" t="s">
        <v>69</v>
      </c>
      <c r="C32" s="3" t="s">
        <v>117</v>
      </c>
    </row>
    <row r="33" customFormat="false" ht="15" hidden="false" customHeight="false" outlineLevel="0" collapsed="false">
      <c r="A33" s="3" t="s">
        <v>125</v>
      </c>
      <c r="B33" s="3" t="s">
        <v>69</v>
      </c>
      <c r="C33" s="3" t="s">
        <v>117</v>
      </c>
    </row>
    <row r="34" customFormat="false" ht="15" hidden="false" customHeight="false" outlineLevel="0" collapsed="false">
      <c r="A34" s="3" t="s">
        <v>126</v>
      </c>
      <c r="B34" s="3" t="s">
        <v>69</v>
      </c>
      <c r="C34" s="3" t="s">
        <v>117</v>
      </c>
    </row>
    <row r="35" customFormat="false" ht="15" hidden="false" customHeight="false" outlineLevel="0" collapsed="false">
      <c r="A35" s="3" t="s">
        <v>127</v>
      </c>
      <c r="B35" s="3" t="s">
        <v>69</v>
      </c>
      <c r="C35" s="3" t="s">
        <v>117</v>
      </c>
    </row>
    <row r="36" customFormat="false" ht="15" hidden="false" customHeight="false" outlineLevel="0" collapsed="false">
      <c r="A36" s="3" t="s">
        <v>128</v>
      </c>
      <c r="B36" s="3" t="s">
        <v>69</v>
      </c>
      <c r="C36" s="3" t="s">
        <v>117</v>
      </c>
    </row>
    <row r="37" customFormat="false" ht="15" hidden="false" customHeight="false" outlineLevel="0" collapsed="false">
      <c r="A37" s="3" t="s">
        <v>129</v>
      </c>
      <c r="B37" s="3" t="s">
        <v>69</v>
      </c>
      <c r="C37" s="3" t="s">
        <v>117</v>
      </c>
    </row>
    <row r="38" customFormat="false" ht="15" hidden="false" customHeight="false" outlineLevel="0" collapsed="false">
      <c r="A38" s="3" t="s">
        <v>130</v>
      </c>
      <c r="B38" s="3" t="s">
        <v>69</v>
      </c>
      <c r="C38" s="3" t="s">
        <v>117</v>
      </c>
    </row>
    <row r="39" customFormat="false" ht="15" hidden="false" customHeight="false" outlineLevel="0" collapsed="false">
      <c r="A39" s="3" t="s">
        <v>131</v>
      </c>
      <c r="B39" s="3" t="s">
        <v>69</v>
      </c>
      <c r="C39" s="3" t="s">
        <v>117</v>
      </c>
    </row>
    <row r="40" customFormat="false" ht="15" hidden="false" customHeight="false" outlineLevel="0" collapsed="false">
      <c r="A40" s="3" t="s">
        <v>132</v>
      </c>
      <c r="B40" s="3" t="s">
        <v>69</v>
      </c>
      <c r="C40" s="3" t="s">
        <v>117</v>
      </c>
    </row>
    <row r="41" customFormat="false" ht="15" hidden="false" customHeight="false" outlineLevel="0" collapsed="false">
      <c r="A41" s="3" t="s">
        <v>133</v>
      </c>
      <c r="B41" s="3" t="s">
        <v>69</v>
      </c>
      <c r="C41" s="3" t="s">
        <v>117</v>
      </c>
    </row>
    <row r="42" customFormat="false" ht="15" hidden="false" customHeight="false" outlineLevel="0" collapsed="false">
      <c r="A42" s="3" t="s">
        <v>134</v>
      </c>
      <c r="B42" s="3" t="s">
        <v>69</v>
      </c>
      <c r="C42" s="3" t="s">
        <v>117</v>
      </c>
    </row>
    <row r="43" customFormat="false" ht="15" hidden="false" customHeight="false" outlineLevel="0" collapsed="false">
      <c r="A43" s="3" t="s">
        <v>135</v>
      </c>
      <c r="B43" s="3" t="s">
        <v>69</v>
      </c>
      <c r="C43" s="3" t="s">
        <v>117</v>
      </c>
    </row>
    <row r="44" customFormat="false" ht="15" hidden="false" customHeight="false" outlineLevel="0" collapsed="false">
      <c r="A44" s="3" t="s">
        <v>136</v>
      </c>
      <c r="B44" s="3" t="s">
        <v>69</v>
      </c>
      <c r="C44" s="3" t="s">
        <v>137</v>
      </c>
    </row>
    <row r="45" customFormat="false" ht="15" hidden="false" customHeight="false" outlineLevel="0" collapsed="false">
      <c r="A45" s="3" t="s">
        <v>138</v>
      </c>
      <c r="B45" s="3" t="s">
        <v>69</v>
      </c>
      <c r="C45" s="3" t="s">
        <v>137</v>
      </c>
    </row>
    <row r="46" customFormat="false" ht="15" hidden="false" customHeight="false" outlineLevel="0" collapsed="false">
      <c r="A46" s="3" t="s">
        <v>139</v>
      </c>
      <c r="B46" s="3" t="s">
        <v>69</v>
      </c>
      <c r="C46" s="3" t="s">
        <v>137</v>
      </c>
    </row>
    <row r="47" customFormat="false" ht="15" hidden="false" customHeight="false" outlineLevel="0" collapsed="false">
      <c r="A47" s="3" t="s">
        <v>140</v>
      </c>
      <c r="B47" s="3" t="s">
        <v>69</v>
      </c>
      <c r="C47" s="3" t="s">
        <v>137</v>
      </c>
    </row>
    <row r="48" customFormat="false" ht="15" hidden="false" customHeight="false" outlineLevel="0" collapsed="false">
      <c r="A48" s="3" t="s">
        <v>141</v>
      </c>
      <c r="B48" s="3" t="s">
        <v>69</v>
      </c>
      <c r="C48" s="3" t="s">
        <v>137</v>
      </c>
    </row>
    <row r="49" customFormat="false" ht="15" hidden="false" customHeight="false" outlineLevel="0" collapsed="false">
      <c r="A49" s="3" t="s">
        <v>142</v>
      </c>
      <c r="B49" s="3" t="s">
        <v>69</v>
      </c>
      <c r="C49" s="3" t="s">
        <v>137</v>
      </c>
    </row>
    <row r="50" customFormat="false" ht="15" hidden="false" customHeight="false" outlineLevel="0" collapsed="false">
      <c r="A50" s="3" t="s">
        <v>143</v>
      </c>
      <c r="B50" s="3" t="s">
        <v>69</v>
      </c>
      <c r="C50" s="3" t="s">
        <v>137</v>
      </c>
    </row>
    <row r="51" customFormat="false" ht="15" hidden="false" customHeight="false" outlineLevel="0" collapsed="false">
      <c r="A51" s="3" t="s">
        <v>144</v>
      </c>
      <c r="B51" s="3" t="s">
        <v>69</v>
      </c>
      <c r="C51" s="3" t="s">
        <v>137</v>
      </c>
    </row>
    <row r="52" customFormat="false" ht="15" hidden="false" customHeight="false" outlineLevel="0" collapsed="false">
      <c r="A52" s="3" t="s">
        <v>145</v>
      </c>
      <c r="B52" s="3" t="s">
        <v>69</v>
      </c>
      <c r="C52" s="3" t="s">
        <v>137</v>
      </c>
    </row>
    <row r="53" customFormat="false" ht="15" hidden="false" customHeight="false" outlineLevel="0" collapsed="false">
      <c r="A53" s="3" t="s">
        <v>146</v>
      </c>
      <c r="B53" s="3" t="s">
        <v>69</v>
      </c>
      <c r="C53" s="3" t="s">
        <v>137</v>
      </c>
    </row>
    <row r="54" customFormat="false" ht="15" hidden="false" customHeight="false" outlineLevel="0" collapsed="false">
      <c r="A54" s="3" t="s">
        <v>147</v>
      </c>
      <c r="B54" s="3" t="s">
        <v>69</v>
      </c>
      <c r="C54" s="3" t="s">
        <v>137</v>
      </c>
    </row>
    <row r="55" customFormat="false" ht="15" hidden="false" customHeight="false" outlineLevel="0" collapsed="false">
      <c r="A55" s="3" t="s">
        <v>148</v>
      </c>
      <c r="B55" s="3" t="s">
        <v>69</v>
      </c>
      <c r="C55" s="3" t="s">
        <v>137</v>
      </c>
    </row>
    <row r="56" customFormat="false" ht="15" hidden="false" customHeight="false" outlineLevel="0" collapsed="false">
      <c r="A56" s="3" t="s">
        <v>149</v>
      </c>
      <c r="B56" s="3" t="s">
        <v>69</v>
      </c>
      <c r="C56" s="3" t="s">
        <v>137</v>
      </c>
    </row>
    <row r="57" customFormat="false" ht="15" hidden="false" customHeight="false" outlineLevel="0" collapsed="false">
      <c r="A57" s="3" t="s">
        <v>150</v>
      </c>
      <c r="B57" s="3" t="s">
        <v>69</v>
      </c>
      <c r="C57" s="3" t="s">
        <v>137</v>
      </c>
    </row>
    <row r="58" customFormat="false" ht="15" hidden="false" customHeight="false" outlineLevel="0" collapsed="false">
      <c r="A58" s="3" t="s">
        <v>151</v>
      </c>
      <c r="B58" s="3" t="s">
        <v>69</v>
      </c>
      <c r="C58" s="3" t="s">
        <v>137</v>
      </c>
    </row>
    <row r="59" customFormat="false" ht="15" hidden="false" customHeight="false" outlineLevel="0" collapsed="false">
      <c r="A59" s="3" t="s">
        <v>152</v>
      </c>
      <c r="B59" s="3" t="s">
        <v>69</v>
      </c>
      <c r="C59" s="3" t="s">
        <v>137</v>
      </c>
    </row>
    <row r="60" customFormat="false" ht="15" hidden="false" customHeight="false" outlineLevel="0" collapsed="false">
      <c r="A60" s="3" t="s">
        <v>153</v>
      </c>
      <c r="B60" s="3" t="s">
        <v>69</v>
      </c>
      <c r="C60" s="3" t="s">
        <v>137</v>
      </c>
    </row>
    <row r="61" customFormat="false" ht="23.85" hidden="false" customHeight="false" outlineLevel="0" collapsed="false">
      <c r="A61" s="19" t="s">
        <v>154</v>
      </c>
      <c r="B61" s="19" t="s">
        <v>69</v>
      </c>
      <c r="C61" s="19" t="s">
        <v>155</v>
      </c>
    </row>
    <row r="62" customFormat="false" ht="23.85" hidden="false" customHeight="false" outlineLevel="0" collapsed="false">
      <c r="A62" s="19" t="s">
        <v>156</v>
      </c>
      <c r="B62" s="19" t="s">
        <v>69</v>
      </c>
      <c r="C62" s="19" t="s">
        <v>155</v>
      </c>
    </row>
    <row r="63" customFormat="false" ht="23.85" hidden="false" customHeight="false" outlineLevel="0" collapsed="false">
      <c r="A63" s="19" t="s">
        <v>157</v>
      </c>
      <c r="B63" s="19" t="s">
        <v>69</v>
      </c>
      <c r="C63" s="19" t="s">
        <v>155</v>
      </c>
    </row>
    <row r="64" customFormat="false" ht="23.85" hidden="false" customHeight="false" outlineLevel="0" collapsed="false">
      <c r="A64" s="19" t="s">
        <v>158</v>
      </c>
      <c r="B64" s="19" t="s">
        <v>69</v>
      </c>
      <c r="C64" s="19" t="s">
        <v>155</v>
      </c>
    </row>
    <row r="65" customFormat="false" ht="23.85" hidden="false" customHeight="false" outlineLevel="0" collapsed="false">
      <c r="A65" s="19" t="s">
        <v>159</v>
      </c>
      <c r="B65" s="19" t="s">
        <v>69</v>
      </c>
      <c r="C65" s="19" t="s">
        <v>155</v>
      </c>
    </row>
    <row r="66" customFormat="false" ht="23.85" hidden="false" customHeight="false" outlineLevel="0" collapsed="false">
      <c r="A66" s="19" t="s">
        <v>160</v>
      </c>
      <c r="B66" s="19" t="s">
        <v>69</v>
      </c>
      <c r="C66" s="19" t="s">
        <v>155</v>
      </c>
    </row>
    <row r="67" customFormat="false" ht="23.85" hidden="false" customHeight="false" outlineLevel="0" collapsed="false">
      <c r="A67" s="19" t="s">
        <v>161</v>
      </c>
      <c r="B67" s="19" t="s">
        <v>69</v>
      </c>
      <c r="C67" s="19" t="s">
        <v>155</v>
      </c>
    </row>
    <row r="68" customFormat="false" ht="23.85" hidden="false" customHeight="false" outlineLevel="0" collapsed="false">
      <c r="A68" s="19" t="s">
        <v>162</v>
      </c>
      <c r="B68" s="19" t="s">
        <v>69</v>
      </c>
      <c r="C68" s="19" t="s">
        <v>155</v>
      </c>
    </row>
    <row r="69" customFormat="false" ht="23.85" hidden="false" customHeight="false" outlineLevel="0" collapsed="false">
      <c r="A69" s="19" t="s">
        <v>163</v>
      </c>
      <c r="B69" s="19" t="s">
        <v>69</v>
      </c>
      <c r="C69" s="19" t="s">
        <v>155</v>
      </c>
    </row>
    <row r="70" customFormat="false" ht="23.85" hidden="false" customHeight="false" outlineLevel="0" collapsed="false">
      <c r="A70" s="19" t="s">
        <v>164</v>
      </c>
      <c r="B70" s="19" t="s">
        <v>69</v>
      </c>
      <c r="C70" s="19" t="s">
        <v>155</v>
      </c>
    </row>
    <row r="71" customFormat="false" ht="23.85" hidden="false" customHeight="false" outlineLevel="0" collapsed="false">
      <c r="A71" s="19" t="s">
        <v>165</v>
      </c>
      <c r="B71" s="19" t="s">
        <v>69</v>
      </c>
      <c r="C71" s="19" t="s">
        <v>155</v>
      </c>
    </row>
    <row r="72" customFormat="false" ht="23.85" hidden="false" customHeight="false" outlineLevel="0" collapsed="false">
      <c r="A72" s="19" t="s">
        <v>166</v>
      </c>
      <c r="B72" s="19" t="s">
        <v>69</v>
      </c>
      <c r="C72" s="19" t="s">
        <v>155</v>
      </c>
    </row>
    <row r="73" customFormat="false" ht="23.85" hidden="false" customHeight="false" outlineLevel="0" collapsed="false">
      <c r="A73" s="19" t="s">
        <v>167</v>
      </c>
      <c r="B73" s="19" t="s">
        <v>69</v>
      </c>
      <c r="C73" s="19" t="s">
        <v>155</v>
      </c>
    </row>
    <row r="74" customFormat="false" ht="23.85" hidden="false" customHeight="false" outlineLevel="0" collapsed="false">
      <c r="A74" s="19" t="s">
        <v>168</v>
      </c>
      <c r="B74" s="19" t="s">
        <v>69</v>
      </c>
      <c r="C74" s="19" t="s">
        <v>155</v>
      </c>
    </row>
    <row r="75" customFormat="false" ht="23.85" hidden="false" customHeight="false" outlineLevel="0" collapsed="false">
      <c r="A75" s="19" t="s">
        <v>169</v>
      </c>
      <c r="B75" s="19" t="s">
        <v>69</v>
      </c>
      <c r="C75" s="19" t="s">
        <v>155</v>
      </c>
    </row>
    <row r="76" customFormat="false" ht="15" hidden="false" customHeight="false" outlineLevel="0" collapsed="false">
      <c r="A76" s="23" t="s">
        <v>170</v>
      </c>
      <c r="B76" s="23" t="s">
        <v>69</v>
      </c>
      <c r="C76" s="23" t="s">
        <v>171</v>
      </c>
    </row>
    <row r="77" customFormat="false" ht="15" hidden="false" customHeight="false" outlineLevel="0" collapsed="false">
      <c r="A77" s="23" t="s">
        <v>172</v>
      </c>
      <c r="B77" s="23" t="s">
        <v>69</v>
      </c>
      <c r="C77" s="23" t="s">
        <v>171</v>
      </c>
    </row>
    <row r="78" customFormat="false" ht="15" hidden="false" customHeight="false" outlineLevel="0" collapsed="false">
      <c r="A78" s="23" t="s">
        <v>173</v>
      </c>
      <c r="B78" s="23" t="s">
        <v>69</v>
      </c>
      <c r="C78" s="23" t="s">
        <v>171</v>
      </c>
    </row>
    <row r="79" customFormat="false" ht="15" hidden="false" customHeight="false" outlineLevel="0" collapsed="false">
      <c r="A79" s="23" t="s">
        <v>174</v>
      </c>
      <c r="B79" s="23" t="s">
        <v>69</v>
      </c>
      <c r="C79" s="23" t="s">
        <v>171</v>
      </c>
    </row>
    <row r="80" customFormat="false" ht="15" hidden="false" customHeight="false" outlineLevel="0" collapsed="false">
      <c r="A80" s="23" t="s">
        <v>175</v>
      </c>
      <c r="B80" s="23" t="s">
        <v>69</v>
      </c>
      <c r="C80" s="23" t="s">
        <v>171</v>
      </c>
    </row>
    <row r="81" customFormat="false" ht="15" hidden="false" customHeight="false" outlineLevel="0" collapsed="false">
      <c r="A81" s="23" t="s">
        <v>176</v>
      </c>
      <c r="B81" s="23" t="s">
        <v>69</v>
      </c>
      <c r="C81" s="23" t="s">
        <v>171</v>
      </c>
    </row>
    <row r="82" customFormat="false" ht="15" hidden="false" customHeight="false" outlineLevel="0" collapsed="false">
      <c r="A82" s="23" t="s">
        <v>177</v>
      </c>
      <c r="B82" s="23" t="s">
        <v>69</v>
      </c>
      <c r="C82" s="23" t="s">
        <v>171</v>
      </c>
    </row>
    <row r="83" customFormat="false" ht="15" hidden="false" customHeight="false" outlineLevel="0" collapsed="false">
      <c r="A83" s="23" t="s">
        <v>178</v>
      </c>
      <c r="B83" s="23" t="s">
        <v>69</v>
      </c>
      <c r="C83" s="23" t="s">
        <v>171</v>
      </c>
    </row>
  </sheetData>
  <autoFilter ref="A1:C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66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18" t="s">
        <v>55</v>
      </c>
      <c r="B1" s="18" t="s">
        <v>179</v>
      </c>
      <c r="C1" s="18" t="s">
        <v>180</v>
      </c>
      <c r="D1" s="18" t="s">
        <v>181</v>
      </c>
      <c r="E1" s="18" t="s">
        <v>182</v>
      </c>
      <c r="F1" s="18" t="s">
        <v>183</v>
      </c>
    </row>
    <row r="2" customFormat="false" ht="15" hidden="false" customHeight="false" outlineLevel="0" collapsed="false">
      <c r="A2" s="3" t="s">
        <v>21</v>
      </c>
      <c r="B2" s="3" t="s">
        <v>184</v>
      </c>
      <c r="C2" s="3" t="n">
        <v>1</v>
      </c>
      <c r="D2" s="3" t="s">
        <v>185</v>
      </c>
      <c r="E2" s="3" t="n">
        <v>20</v>
      </c>
      <c r="F2" s="3" t="n">
        <v>30</v>
      </c>
    </row>
    <row r="3" customFormat="false" ht="15" hidden="false" customHeight="false" outlineLevel="0" collapsed="false">
      <c r="A3" s="3" t="s">
        <v>21</v>
      </c>
      <c r="B3" s="3" t="s">
        <v>184</v>
      </c>
      <c r="C3" s="3" t="n">
        <v>2</v>
      </c>
      <c r="D3" s="3" t="s">
        <v>186</v>
      </c>
      <c r="E3" s="3" t="n">
        <v>26</v>
      </c>
      <c r="F3" s="3" t="n">
        <v>30</v>
      </c>
    </row>
    <row r="4" customFormat="false" ht="15" hidden="false" customHeight="false" outlineLevel="0" collapsed="false">
      <c r="A4" s="3" t="s">
        <v>21</v>
      </c>
      <c r="B4" s="3" t="s">
        <v>184</v>
      </c>
      <c r="C4" s="3" t="n">
        <v>3</v>
      </c>
      <c r="D4" s="3" t="s">
        <v>187</v>
      </c>
      <c r="E4" s="3" t="n">
        <v>26</v>
      </c>
      <c r="F4" s="3" t="n">
        <v>30</v>
      </c>
    </row>
    <row r="5" customFormat="false" ht="15" hidden="false" customHeight="false" outlineLevel="0" collapsed="false">
      <c r="A5" s="3" t="s">
        <v>21</v>
      </c>
      <c r="B5" s="3" t="s">
        <v>184</v>
      </c>
      <c r="C5" s="3" t="n">
        <v>4</v>
      </c>
      <c r="D5" s="3" t="s">
        <v>188</v>
      </c>
      <c r="E5" s="3" t="n">
        <v>25</v>
      </c>
      <c r="F5" s="3" t="n">
        <v>30</v>
      </c>
    </row>
    <row r="6" customFormat="false" ht="15" hidden="false" customHeight="false" outlineLevel="0" collapsed="false">
      <c r="A6" s="3" t="s">
        <v>21</v>
      </c>
      <c r="B6" s="3" t="s">
        <v>184</v>
      </c>
      <c r="C6" s="3" t="n">
        <v>5</v>
      </c>
      <c r="D6" s="3" t="s">
        <v>189</v>
      </c>
      <c r="E6" s="3" t="n">
        <v>22</v>
      </c>
      <c r="F6" s="3" t="n">
        <v>30</v>
      </c>
    </row>
    <row r="7" customFormat="false" ht="15" hidden="false" customHeight="false" outlineLevel="0" collapsed="false">
      <c r="A7" s="3" t="s">
        <v>21</v>
      </c>
      <c r="B7" s="3" t="s">
        <v>184</v>
      </c>
      <c r="C7" s="3" t="n">
        <v>6</v>
      </c>
      <c r="D7" s="3" t="s">
        <v>190</v>
      </c>
      <c r="E7" s="3" t="n">
        <v>23</v>
      </c>
      <c r="F7" s="3" t="n">
        <v>30</v>
      </c>
    </row>
    <row r="8" customFormat="false" ht="15" hidden="false" customHeight="false" outlineLevel="0" collapsed="false">
      <c r="A8" s="3" t="s">
        <v>21</v>
      </c>
      <c r="B8" s="3" t="s">
        <v>184</v>
      </c>
      <c r="C8" s="3" t="n">
        <v>7</v>
      </c>
      <c r="D8" s="3" t="s">
        <v>191</v>
      </c>
      <c r="E8" s="3" t="n">
        <v>24</v>
      </c>
      <c r="F8" s="3" t="n">
        <v>30</v>
      </c>
    </row>
    <row r="9" customFormat="false" ht="15" hidden="false" customHeight="false" outlineLevel="0" collapsed="false">
      <c r="A9" s="3" t="s">
        <v>21</v>
      </c>
      <c r="B9" s="3" t="s">
        <v>184</v>
      </c>
      <c r="C9" s="3" t="n">
        <v>8</v>
      </c>
      <c r="D9" s="3" t="s">
        <v>192</v>
      </c>
      <c r="E9" s="3" t="n">
        <v>24</v>
      </c>
      <c r="F9" s="3" t="n">
        <v>30</v>
      </c>
    </row>
    <row r="10" customFormat="false" ht="15" hidden="false" customHeight="false" outlineLevel="0" collapsed="false">
      <c r="A10" s="3" t="s">
        <v>21</v>
      </c>
      <c r="B10" s="3" t="s">
        <v>184</v>
      </c>
      <c r="C10" s="3" t="n">
        <v>9</v>
      </c>
      <c r="D10" s="3" t="s">
        <v>193</v>
      </c>
      <c r="E10" s="3" t="n">
        <v>24</v>
      </c>
      <c r="F10" s="3" t="n">
        <v>30</v>
      </c>
    </row>
    <row r="11" customFormat="false" ht="15" hidden="false" customHeight="false" outlineLevel="0" collapsed="false">
      <c r="A11" s="3" t="s">
        <v>21</v>
      </c>
      <c r="B11" s="3" t="s">
        <v>184</v>
      </c>
      <c r="C11" s="3" t="n">
        <v>10</v>
      </c>
      <c r="D11" s="3" t="s">
        <v>194</v>
      </c>
      <c r="E11" s="3" t="n">
        <v>27</v>
      </c>
      <c r="F11" s="3" t="n">
        <v>30</v>
      </c>
    </row>
    <row r="12" customFormat="false" ht="15" hidden="false" customHeight="false" outlineLevel="0" collapsed="false">
      <c r="A12" s="3" t="s">
        <v>21</v>
      </c>
      <c r="B12" s="3" t="s">
        <v>184</v>
      </c>
      <c r="C12" s="3" t="n">
        <v>11</v>
      </c>
      <c r="D12" s="3" t="s">
        <v>195</v>
      </c>
      <c r="E12" s="3" t="n">
        <v>27</v>
      </c>
      <c r="F12" s="3" t="n">
        <v>30</v>
      </c>
    </row>
    <row r="13" customFormat="false" ht="15" hidden="false" customHeight="false" outlineLevel="0" collapsed="false">
      <c r="A13" s="3" t="s">
        <v>21</v>
      </c>
      <c r="B13" s="3" t="s">
        <v>184</v>
      </c>
      <c r="C13" s="3" t="n">
        <v>12</v>
      </c>
      <c r="D13" s="3" t="s">
        <v>196</v>
      </c>
      <c r="E13" s="3" t="n">
        <v>28</v>
      </c>
      <c r="F13" s="3" t="n">
        <v>30</v>
      </c>
    </row>
    <row r="14" customFormat="false" ht="23.85" hidden="false" customHeight="false" outlineLevel="0" collapsed="false">
      <c r="A14" s="3" t="s">
        <v>21</v>
      </c>
      <c r="B14" s="3" t="s">
        <v>197</v>
      </c>
      <c r="C14" s="3" t="n">
        <v>1</v>
      </c>
      <c r="D14" s="3" t="s">
        <v>198</v>
      </c>
      <c r="E14" s="3" t="n">
        <v>81</v>
      </c>
      <c r="F14" s="3" t="n">
        <v>90</v>
      </c>
    </row>
    <row r="15" customFormat="false" ht="23.85" hidden="false" customHeight="false" outlineLevel="0" collapsed="false">
      <c r="A15" s="3" t="s">
        <v>21</v>
      </c>
      <c r="B15" s="3" t="s">
        <v>197</v>
      </c>
      <c r="C15" s="3" t="n">
        <v>2</v>
      </c>
      <c r="D15" s="3" t="s">
        <v>199</v>
      </c>
      <c r="E15" s="3" t="n">
        <v>88</v>
      </c>
      <c r="F15" s="3" t="n">
        <v>90</v>
      </c>
    </row>
    <row r="16" customFormat="false" ht="23.85" hidden="false" customHeight="false" outlineLevel="0" collapsed="false">
      <c r="A16" s="3" t="s">
        <v>21</v>
      </c>
      <c r="B16" s="3" t="s">
        <v>197</v>
      </c>
      <c r="C16" s="3" t="n">
        <v>3</v>
      </c>
      <c r="D16" s="3" t="s">
        <v>200</v>
      </c>
      <c r="E16" s="3" t="n">
        <v>87</v>
      </c>
      <c r="F16" s="3" t="n">
        <v>90</v>
      </c>
    </row>
    <row r="17" customFormat="false" ht="23.85" hidden="false" customHeight="false" outlineLevel="0" collapsed="false">
      <c r="A17" s="3" t="s">
        <v>21</v>
      </c>
      <c r="B17" s="3" t="s">
        <v>197</v>
      </c>
      <c r="C17" s="3" t="n">
        <v>4</v>
      </c>
      <c r="D17" s="3" t="s">
        <v>201</v>
      </c>
      <c r="E17" s="3" t="n">
        <v>81</v>
      </c>
      <c r="F17" s="3" t="n">
        <v>90</v>
      </c>
    </row>
    <row r="18" customFormat="false" ht="15" hidden="false" customHeight="false" outlineLevel="0" collapsed="false">
      <c r="A18" s="3" t="s">
        <v>21</v>
      </c>
      <c r="B18" s="3" t="s">
        <v>202</v>
      </c>
      <c r="C18" s="3" t="n">
        <v>1</v>
      </c>
      <c r="D18" s="3" t="s">
        <v>203</v>
      </c>
      <c r="E18" s="3" t="n">
        <v>15</v>
      </c>
      <c r="F18" s="3" t="n">
        <v>15</v>
      </c>
    </row>
    <row r="19" customFormat="false" ht="15" hidden="false" customHeight="false" outlineLevel="0" collapsed="false">
      <c r="A19" s="3" t="s">
        <v>21</v>
      </c>
      <c r="B19" s="3" t="s">
        <v>202</v>
      </c>
      <c r="C19" s="3" t="n">
        <v>2</v>
      </c>
      <c r="D19" s="3" t="s">
        <v>204</v>
      </c>
      <c r="E19" s="3" t="n">
        <v>3</v>
      </c>
      <c r="F19" s="3" t="n">
        <v>15</v>
      </c>
    </row>
    <row r="20" customFormat="false" ht="15" hidden="false" customHeight="false" outlineLevel="0" collapsed="false">
      <c r="A20" s="3" t="s">
        <v>22</v>
      </c>
      <c r="B20" s="3" t="s">
        <v>184</v>
      </c>
      <c r="C20" s="3" t="n">
        <v>1</v>
      </c>
      <c r="D20" s="3" t="s">
        <v>205</v>
      </c>
      <c r="E20" s="3" t="n">
        <v>20</v>
      </c>
      <c r="F20" s="3" t="n">
        <v>30</v>
      </c>
    </row>
    <row r="21" customFormat="false" ht="15" hidden="false" customHeight="false" outlineLevel="0" collapsed="false">
      <c r="A21" s="3" t="s">
        <v>22</v>
      </c>
      <c r="B21" s="3" t="s">
        <v>184</v>
      </c>
      <c r="C21" s="3" t="n">
        <v>2</v>
      </c>
      <c r="D21" s="3" t="s">
        <v>206</v>
      </c>
      <c r="E21" s="3" t="n">
        <v>23</v>
      </c>
      <c r="F21" s="3" t="n">
        <v>30</v>
      </c>
    </row>
    <row r="22" customFormat="false" ht="15" hidden="false" customHeight="false" outlineLevel="0" collapsed="false">
      <c r="A22" s="3" t="s">
        <v>22</v>
      </c>
      <c r="B22" s="3" t="s">
        <v>184</v>
      </c>
      <c r="C22" s="3" t="n">
        <v>3</v>
      </c>
      <c r="D22" s="3" t="s">
        <v>207</v>
      </c>
      <c r="E22" s="3" t="n">
        <v>28</v>
      </c>
      <c r="F22" s="3" t="n">
        <v>30</v>
      </c>
    </row>
    <row r="23" customFormat="false" ht="15" hidden="false" customHeight="false" outlineLevel="0" collapsed="false">
      <c r="A23" s="3" t="s">
        <v>22</v>
      </c>
      <c r="B23" s="3" t="s">
        <v>184</v>
      </c>
      <c r="C23" s="3" t="n">
        <v>4</v>
      </c>
      <c r="D23" s="3" t="s">
        <v>208</v>
      </c>
      <c r="E23" s="3" t="n">
        <v>26</v>
      </c>
      <c r="F23" s="3" t="n">
        <v>30</v>
      </c>
    </row>
    <row r="24" customFormat="false" ht="15" hidden="false" customHeight="false" outlineLevel="0" collapsed="false">
      <c r="A24" s="3" t="s">
        <v>22</v>
      </c>
      <c r="B24" s="3" t="s">
        <v>184</v>
      </c>
      <c r="C24" s="3" t="n">
        <v>5</v>
      </c>
      <c r="D24" s="3" t="s">
        <v>209</v>
      </c>
      <c r="E24" s="3" t="n">
        <v>22</v>
      </c>
      <c r="F24" s="3" t="n">
        <v>30</v>
      </c>
    </row>
    <row r="25" customFormat="false" ht="15" hidden="false" customHeight="false" outlineLevel="0" collapsed="false">
      <c r="A25" s="3" t="s">
        <v>22</v>
      </c>
      <c r="B25" s="3" t="s">
        <v>184</v>
      </c>
      <c r="C25" s="3" t="n">
        <v>6</v>
      </c>
      <c r="D25" s="3" t="s">
        <v>210</v>
      </c>
      <c r="E25" s="3" t="n">
        <v>23</v>
      </c>
      <c r="F25" s="3" t="n">
        <v>30</v>
      </c>
    </row>
    <row r="26" customFormat="false" ht="15" hidden="false" customHeight="false" outlineLevel="0" collapsed="false">
      <c r="A26" s="3" t="s">
        <v>22</v>
      </c>
      <c r="B26" s="3" t="s">
        <v>184</v>
      </c>
      <c r="C26" s="3" t="n">
        <v>7</v>
      </c>
      <c r="D26" s="3" t="s">
        <v>211</v>
      </c>
      <c r="E26" s="3" t="n">
        <v>25</v>
      </c>
      <c r="F26" s="3" t="n">
        <v>30</v>
      </c>
    </row>
    <row r="27" customFormat="false" ht="15" hidden="false" customHeight="false" outlineLevel="0" collapsed="false">
      <c r="A27" s="3" t="s">
        <v>22</v>
      </c>
      <c r="B27" s="3" t="s">
        <v>184</v>
      </c>
      <c r="C27" s="3" t="n">
        <v>8</v>
      </c>
      <c r="D27" s="3" t="s">
        <v>192</v>
      </c>
      <c r="E27" s="3" t="n">
        <v>24</v>
      </c>
      <c r="F27" s="3" t="n">
        <v>30</v>
      </c>
    </row>
    <row r="28" customFormat="false" ht="15" hidden="false" customHeight="false" outlineLevel="0" collapsed="false">
      <c r="A28" s="3" t="s">
        <v>22</v>
      </c>
      <c r="B28" s="3" t="s">
        <v>184</v>
      </c>
      <c r="C28" s="3" t="n">
        <v>9</v>
      </c>
      <c r="D28" s="3" t="s">
        <v>193</v>
      </c>
      <c r="E28" s="3" t="n">
        <v>24</v>
      </c>
      <c r="F28" s="3" t="n">
        <v>30</v>
      </c>
    </row>
    <row r="29" customFormat="false" ht="15" hidden="false" customHeight="false" outlineLevel="0" collapsed="false">
      <c r="A29" s="3" t="s">
        <v>22</v>
      </c>
      <c r="B29" s="3" t="s">
        <v>184</v>
      </c>
      <c r="C29" s="3" t="n">
        <v>10</v>
      </c>
      <c r="D29" s="3" t="s">
        <v>194</v>
      </c>
      <c r="E29" s="3" t="n">
        <v>27</v>
      </c>
      <c r="F29" s="3" t="n">
        <v>30</v>
      </c>
    </row>
    <row r="30" customFormat="false" ht="15" hidden="false" customHeight="false" outlineLevel="0" collapsed="false">
      <c r="A30" s="3" t="s">
        <v>22</v>
      </c>
      <c r="B30" s="3" t="s">
        <v>184</v>
      </c>
      <c r="C30" s="3" t="n">
        <v>11</v>
      </c>
      <c r="D30" s="3" t="s">
        <v>212</v>
      </c>
      <c r="E30" s="3" t="n">
        <v>24</v>
      </c>
      <c r="F30" s="3" t="n">
        <v>30</v>
      </c>
    </row>
    <row r="31" customFormat="false" ht="15" hidden="false" customHeight="false" outlineLevel="0" collapsed="false">
      <c r="A31" s="3" t="s">
        <v>22</v>
      </c>
      <c r="B31" s="3" t="s">
        <v>184</v>
      </c>
      <c r="C31" s="3" t="n">
        <v>12</v>
      </c>
      <c r="D31" s="3" t="s">
        <v>213</v>
      </c>
      <c r="E31" s="3" t="n">
        <v>26</v>
      </c>
      <c r="F31" s="3" t="n">
        <v>30</v>
      </c>
    </row>
    <row r="32" customFormat="false" ht="23.85" hidden="false" customHeight="false" outlineLevel="0" collapsed="false">
      <c r="A32" s="3" t="s">
        <v>22</v>
      </c>
      <c r="B32" s="3" t="s">
        <v>197</v>
      </c>
      <c r="C32" s="3" t="n">
        <v>1</v>
      </c>
      <c r="D32" s="3" t="s">
        <v>214</v>
      </c>
      <c r="E32" s="3" t="n">
        <v>81</v>
      </c>
      <c r="F32" s="3" t="n">
        <v>90</v>
      </c>
    </row>
    <row r="33" customFormat="false" ht="15" hidden="false" customHeight="false" outlineLevel="0" collapsed="false">
      <c r="A33" s="3" t="s">
        <v>22</v>
      </c>
      <c r="B33" s="3" t="s">
        <v>197</v>
      </c>
      <c r="C33" s="3" t="n">
        <v>2</v>
      </c>
      <c r="D33" s="3" t="s">
        <v>215</v>
      </c>
      <c r="E33" s="3" t="n">
        <v>79</v>
      </c>
      <c r="F33" s="3" t="n">
        <v>90</v>
      </c>
    </row>
    <row r="34" customFormat="false" ht="23.85" hidden="false" customHeight="false" outlineLevel="0" collapsed="false">
      <c r="A34" s="3" t="s">
        <v>22</v>
      </c>
      <c r="B34" s="3" t="s">
        <v>197</v>
      </c>
      <c r="C34" s="3" t="n">
        <v>3</v>
      </c>
      <c r="D34" s="3" t="s">
        <v>216</v>
      </c>
      <c r="E34" s="3" t="n">
        <v>78</v>
      </c>
      <c r="F34" s="3" t="n">
        <v>90</v>
      </c>
    </row>
    <row r="35" customFormat="false" ht="23.85" hidden="false" customHeight="false" outlineLevel="0" collapsed="false">
      <c r="A35" s="3" t="s">
        <v>22</v>
      </c>
      <c r="B35" s="3" t="s">
        <v>197</v>
      </c>
      <c r="C35" s="3" t="n">
        <v>4</v>
      </c>
      <c r="D35" s="3" t="s">
        <v>217</v>
      </c>
      <c r="E35" s="3" t="n">
        <v>84</v>
      </c>
      <c r="F35" s="3" t="n">
        <v>90</v>
      </c>
    </row>
    <row r="36" customFormat="false" ht="15" hidden="false" customHeight="false" outlineLevel="0" collapsed="false">
      <c r="A36" s="3" t="s">
        <v>22</v>
      </c>
      <c r="B36" s="3" t="s">
        <v>202</v>
      </c>
      <c r="C36" s="3" t="n">
        <v>1</v>
      </c>
      <c r="D36" s="3" t="s">
        <v>218</v>
      </c>
      <c r="E36" s="3" t="n">
        <v>15</v>
      </c>
      <c r="F36" s="3" t="n">
        <v>15</v>
      </c>
    </row>
    <row r="37" customFormat="false" ht="15" hidden="false" customHeight="false" outlineLevel="0" collapsed="false">
      <c r="A37" s="3" t="s">
        <v>22</v>
      </c>
      <c r="B37" s="3" t="s">
        <v>202</v>
      </c>
      <c r="C37" s="3" t="n">
        <v>2</v>
      </c>
      <c r="D37" s="3" t="s">
        <v>204</v>
      </c>
      <c r="E37" s="3" t="n">
        <v>3</v>
      </c>
      <c r="F37" s="3" t="n">
        <v>15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6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8" t="s">
        <v>219</v>
      </c>
      <c r="B1" s="18" t="s">
        <v>220</v>
      </c>
      <c r="C1" s="18" t="s">
        <v>221</v>
      </c>
      <c r="D1" s="18" t="s">
        <v>222</v>
      </c>
    </row>
    <row r="2" customFormat="false" ht="15" hidden="false" customHeight="false" outlineLevel="0" collapsed="false">
      <c r="A2" s="24" t="n">
        <v>1</v>
      </c>
      <c r="B2" s="24" t="s">
        <v>223</v>
      </c>
      <c r="C2" s="24" t="s">
        <v>224</v>
      </c>
      <c r="D2" s="24" t="s">
        <v>225</v>
      </c>
    </row>
    <row r="3" customFormat="false" ht="23.85" hidden="false" customHeight="false" outlineLevel="0" collapsed="false">
      <c r="A3" s="24" t="n">
        <v>2</v>
      </c>
      <c r="B3" s="24" t="s">
        <v>226</v>
      </c>
      <c r="C3" s="24" t="s">
        <v>224</v>
      </c>
      <c r="D3" s="24" t="s">
        <v>225</v>
      </c>
    </row>
    <row r="4" customFormat="false" ht="15" hidden="false" customHeight="false" outlineLevel="0" collapsed="false">
      <c r="A4" s="24" t="n">
        <v>3</v>
      </c>
      <c r="B4" s="24" t="s">
        <v>227</v>
      </c>
      <c r="C4" s="24" t="s">
        <v>228</v>
      </c>
      <c r="D4" s="24" t="s">
        <v>225</v>
      </c>
    </row>
    <row r="5" customFormat="false" ht="23.85" hidden="false" customHeight="false" outlineLevel="0" collapsed="false">
      <c r="A5" s="24" t="n">
        <v>4</v>
      </c>
      <c r="B5" s="24" t="s">
        <v>229</v>
      </c>
      <c r="C5" s="24" t="s">
        <v>230</v>
      </c>
      <c r="D5" s="24" t="s">
        <v>225</v>
      </c>
    </row>
    <row r="6" customFormat="false" ht="15" hidden="false" customHeight="false" outlineLevel="0" collapsed="false">
      <c r="A6" s="24" t="n">
        <v>5</v>
      </c>
      <c r="B6" s="24" t="s">
        <v>231</v>
      </c>
      <c r="C6" s="24" t="s">
        <v>230</v>
      </c>
      <c r="D6" s="24" t="s">
        <v>225</v>
      </c>
    </row>
    <row r="7" customFormat="false" ht="15" hidden="false" customHeight="false" outlineLevel="0" collapsed="false">
      <c r="A7" s="24" t="n">
        <v>6</v>
      </c>
      <c r="B7" s="24" t="s">
        <v>232</v>
      </c>
      <c r="C7" s="24" t="s">
        <v>230</v>
      </c>
      <c r="D7" s="24" t="s">
        <v>225</v>
      </c>
    </row>
    <row r="8" customFormat="false" ht="23.85" hidden="false" customHeight="false" outlineLevel="0" collapsed="false">
      <c r="A8" s="23" t="n">
        <v>7</v>
      </c>
      <c r="B8" s="23" t="s">
        <v>233</v>
      </c>
      <c r="C8" s="23" t="s">
        <v>234</v>
      </c>
      <c r="D8" s="23" t="s">
        <v>235</v>
      </c>
    </row>
    <row r="9" customFormat="false" ht="15" hidden="false" customHeight="false" outlineLevel="0" collapsed="false">
      <c r="A9" s="23" t="n">
        <v>8</v>
      </c>
      <c r="B9" s="23" t="s">
        <v>236</v>
      </c>
      <c r="C9" s="23" t="s">
        <v>234</v>
      </c>
      <c r="D9" s="23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2026-09-17T18:40:44Z</dcterms:created>
  <dc:creator>openpyxl</dc:creator>
  <dc:description/>
  <dc:language>en-US</dc:language>
  <cp:lastModifiedBy/>
  <dcterms:modified xsi:type="dcterms:W3CDTF">2026-09-17T18:40:44Z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