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es escenar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<sst xmlns="http://schemas.openxmlformats.org/spreadsheetml/2006/main" count="62" uniqueCount="62">
  <si>
    <t xml:space="preserve">¿Qué pasa si subo el presupuesto diario y el CPC en 30 días?</t>
  </si>
  <si>
    <t xml:space="preserve">La demanda es la misma en los tres. Lo único que cambia es cuánto pagás por llegar a ella y en cuánto tiempo.</t>
  </si>
  <si>
    <t xml:space="preserve">A · 30 días agresivo</t>
  </si>
  <si>
    <t xml:space="preserve">B · 80 días moderado</t>
  </si>
  <si>
    <t xml:space="preserve">C · Híbrido recomendado</t>
  </si>
  <si>
    <t xml:space="preserve">Nota</t>
  </si>
  <si>
    <t xml:space="preserve">Duración</t>
  </si>
  <si>
    <t xml:space="preserve">30 días</t>
  </si>
  <si>
    <t xml:space="preserve">80 días</t>
  </si>
  <si>
    <t xml:space="preserve">30 días, con regla al día 15</t>
  </si>
  <si>
    <t xml:space="preserve">Presupuesto diario</t>
  </si>
  <si>
    <t xml:space="preserve">$10.000</t>
  </si>
  <si>
    <t xml:space="preserve">$3.750</t>
  </si>
  <si>
    <t xml:space="preserve">$12.000 (techo, no meta)</t>
  </si>
  <si>
    <t xml:space="preserve">En C el diario no limita: gasta lo que la demanda deje</t>
  </si>
  <si>
    <t xml:space="preserve">CPC tope</t>
  </si>
  <si>
    <t xml:space="preserve">$5.000–$8.000</t>
  </si>
  <si>
    <t xml:space="preserve">$2.200–$4.000</t>
  </si>
  <si>
    <t xml:space="preserve">$3.500–$5.000</t>
  </si>
  <si>
    <t xml:space="preserve">El tope no es lo que pagás, es lo máximo que aceptás</t>
  </si>
  <si>
    <t xml:space="preserve">Cuota de impresiones</t>
  </si>
  <si>
    <t xml:space="preserve">95%</t>
  </si>
  <si>
    <t xml:space="preserve">85%</t>
  </si>
  <si>
    <t xml:space="preserve">90%</t>
  </si>
  <si>
    <t xml:space="preserve">El 100% no existe: hay búsquedas fuera de horario y subastas que no se ganan</t>
  </si>
  <si>
    <t xml:space="preserve">Impresiones disponibles</t>
  </si>
  <si>
    <t xml:space="preserve">Es el mismo mercado en los tres. Verificado en Ubersuggest</t>
  </si>
  <si>
    <t xml:space="preserve">Impresiones ganadas</t>
  </si>
  <si>
    <t xml:space="preserve">CTR esperado</t>
  </si>
  <si>
    <t xml:space="preserve">15%</t>
  </si>
  <si>
    <t xml:space="preserve">10%</t>
  </si>
  <si>
    <t xml:space="preserve">12%</t>
  </si>
  <si>
    <t xml:space="preserve">Más alto en A porque estar primero se clickea más</t>
  </si>
  <si>
    <t xml:space="preserve">Clics al mes</t>
  </si>
  <si>
    <t xml:space="preserve">Meses</t>
  </si>
  <si>
    <t xml:space="preserve">Clics en total</t>
  </si>
  <si>
    <t xml:space="preserve">Acá está la diferencia real</t>
  </si>
  <si>
    <t xml:space="preserve">CPC promedio real</t>
  </si>
  <si>
    <t xml:space="preserve">Pujar por la posición 1 sube lo que efectivamente pagás</t>
  </si>
  <si>
    <t xml:space="preserve">Gasto total</t>
  </si>
  <si>
    <t xml:space="preserve">¿Alcanza el bono de $300.000?</t>
  </si>
  <si>
    <t xml:space="preserve">Lo supera</t>
  </si>
  <si>
    <t xml:space="preserve">Lo usa casi exacto</t>
  </si>
  <si>
    <t xml:space="preserve">Sobra y se extiende</t>
  </si>
  <si>
    <t xml:space="preserve">En A hay que recortar días o bajar el tope</t>
  </si>
  <si>
    <t xml:space="preserve">Tasa de cotización</t>
  </si>
  <si>
    <t xml:space="preserve">4,0%</t>
  </si>
  <si>
    <t xml:space="preserve">3,0%</t>
  </si>
  <si>
    <t xml:space="preserve">3,5%</t>
  </si>
  <si>
    <t xml:space="preserve">Estar primero convierte algo mejor. Supuesto, no medido</t>
  </si>
  <si>
    <t xml:space="preserve">Cotizaciones</t>
  </si>
  <si>
    <t xml:space="preserve">Costo por cotización</t>
  </si>
  <si>
    <t xml:space="preserve">Lo que cuesta cada oportunidad de venta</t>
  </si>
  <si>
    <t xml:space="preserve">Lo que compra un CPC más alto: aparecer en más subastas de las que ya existen, y más arriba. Eso sube la cuota de impresiones del 85% al 95% y el CTR del 10% al 15%. Es real, pero es un techo bajo: un 10% más de subastas ganadas, no el doble de gente.</t>
  </si>
  <si>
    <t xml:space="preserve">Lo que NO compra: búsquedas nuevas. En Colombia hay 1.760 búsquedas al mes de estos dos productos. Con $300.000 o con $3.000.000, esas 1.760 siguen siendo las mismas.</t>
  </si>
  <si>
    <t xml:space="preserve">Por eso en el escenario A el gasto sube más rápido que los clics: estás pagando el doble por clic para ganar un 10% más de subastas.</t>
  </si>
  <si>
    <t xml:space="preserve">El escenario C evita tener que adivinar: el presupuesto diario se pone alto para que nunca sea el que frena, el CPC se pone en un punto medio, y al día 15 se mira el gasto real. Si va lento, se extiende la campaña. Si va rápido, ya cumplió la ventana del bono.</t>
  </si>
  <si>
    <t xml:space="preserve">La regla del día 15, para no tener que decidir hoy</t>
  </si>
  <si>
    <t xml:space="preserve">Si al día 15 gastaste más de $150.000: la demanda da. Seguí hasta el día 30 y el bono se ejecuta completo dentro de la ventana.</t>
  </si>
  <si>
    <t xml:space="preserve">Si gastaste entre $80.000 y $150.000: subí el tope de CPC un 30% y extendé hasta el día 45.</t>
  </si>
  <si>
    <t xml:space="preserve">Si gastaste menos de $80.000: el techo de demanda es real. Extendé a 80 días sin tocar el CPC, o traé la conversación de sumar las otras referencias SAT.</t>
  </si>
  <si>
    <t xml:space="preserve">Las impresiones disponibles salen de Ubersuggest (Colombia, 17 sep 2026) por la captura de exacta y frase. Las tasas de clic, de cotización y los CPC reales son supuestos: esta cuenta no tiene historial. Son estimaciones, no promesas.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</si>
</sst>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2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23.85" hidden="false" customHeight="fals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24" hidden="false" customHeight="true" outlineLevel="0" collapsed="false">
      <c r="A5" s="4" t="s">
        <v>6</v>
      </c>
      <c r="B5" s="5" t="s">
        <v>7</v>
      </c>
      <c r="C5" s="5" t="s">
        <v>8</v>
      </c>
      <c r="D5" s="5" t="s">
        <v>9</v>
      </c>
      <c r="E5" s="6"/>
    </row>
    <row r="6" customFormat="false" ht="24" hidden="false" customHeight="true" outlineLevel="0" collapsed="false">
      <c r="A6" s="4" t="s">
        <v>10</v>
      </c>
      <c r="B6" s="5" t="s">
        <v>11</v>
      </c>
      <c r="C6" s="5" t="s">
        <v>12</v>
      </c>
      <c r="D6" s="5" t="s">
        <v>13</v>
      </c>
      <c r="E6" s="6" t="s">
        <v>14</v>
      </c>
    </row>
    <row r="7" customFormat="false" ht="24" hidden="false" customHeight="true" outlineLevel="0" collapsed="false">
      <c r="A7" s="4" t="s">
        <v>15</v>
      </c>
      <c r="B7" s="5" t="s">
        <v>16</v>
      </c>
      <c r="C7" s="5" t="s">
        <v>17</v>
      </c>
      <c r="D7" s="5" t="s">
        <v>18</v>
      </c>
      <c r="E7" s="6" t="s">
        <v>19</v>
      </c>
    </row>
    <row r="8" customFormat="false" ht="24" hidden="false" customHeight="true" outlineLevel="0" collapsed="false">
      <c r="A8" s="4" t="s">
        <v>20</v>
      </c>
      <c r="B8" s="5" t="s">
        <v>21</v>
      </c>
      <c r="C8" s="5" t="s">
        <v>22</v>
      </c>
      <c r="D8" s="5" t="s">
        <v>23</v>
      </c>
      <c r="E8" s="6" t="s">
        <v>24</v>
      </c>
    </row>
    <row r="9" customFormat="false" ht="24" hidden="false" customHeight="true" outlineLevel="0" collapsed="false">
      <c r="A9" s="4" t="s">
        <v>25</v>
      </c>
      <c r="B9" s="5" t="n">
        <v>793</v>
      </c>
      <c r="C9" s="5" t="n">
        <v>793</v>
      </c>
      <c r="D9" s="5" t="n">
        <v>793</v>
      </c>
      <c r="E9" s="6" t="s">
        <v>26</v>
      </c>
    </row>
    <row r="10" customFormat="false" ht="24" hidden="false" customHeight="true" outlineLevel="0" collapsed="false">
      <c r="A10" s="4" t="s">
        <v>27</v>
      </c>
      <c r="B10" s="5" t="n">
        <f aca="false">ROUND(B9*0.95,0)</f>
        <v>753</v>
      </c>
      <c r="C10" s="5" t="n">
        <f aca="false">ROUND(C9*0.85,0)</f>
        <v>674</v>
      </c>
      <c r="D10" s="5" t="n">
        <f aca="false">ROUND(D9*0.9,0)</f>
        <v>714</v>
      </c>
      <c r="E10" s="6"/>
    </row>
    <row r="11" customFormat="false" ht="24" hidden="false" customHeight="true" outlineLevel="0" collapsed="false">
      <c r="A11" s="4" t="s">
        <v>28</v>
      </c>
      <c r="B11" s="5" t="s">
        <v>29</v>
      </c>
      <c r="C11" s="5" t="s">
        <v>30</v>
      </c>
      <c r="D11" s="5" t="s">
        <v>31</v>
      </c>
      <c r="E11" s="6" t="s">
        <v>32</v>
      </c>
    </row>
    <row r="12" customFormat="false" ht="24" hidden="false" customHeight="true" outlineLevel="0" collapsed="false">
      <c r="A12" s="4" t="s">
        <v>33</v>
      </c>
      <c r="B12" s="5" t="n">
        <f aca="false">ROUND(B10*0.15,0)</f>
        <v>113</v>
      </c>
      <c r="C12" s="5" t="n">
        <f aca="false">ROUND(C10*0.1,0)</f>
        <v>67</v>
      </c>
      <c r="D12" s="5" t="n">
        <f aca="false">ROUND(D10*0.12,0)</f>
        <v>86</v>
      </c>
      <c r="E12" s="6"/>
    </row>
    <row r="13" customFormat="false" ht="24" hidden="false" customHeight="true" outlineLevel="0" collapsed="false">
      <c r="A13" s="4" t="s">
        <v>34</v>
      </c>
      <c r="B13" s="5" t="n">
        <v>1</v>
      </c>
      <c r="C13" s="5" t="n">
        <v>2.7</v>
      </c>
      <c r="D13" s="5" t="n">
        <v>1</v>
      </c>
      <c r="E13" s="6"/>
    </row>
    <row r="14" customFormat="false" ht="24" hidden="false" customHeight="true" outlineLevel="0" collapsed="false">
      <c r="A14" s="4" t="s">
        <v>35</v>
      </c>
      <c r="B14" s="7" t="n">
        <f aca="false">ROUND(B12*B13,0)</f>
        <v>113</v>
      </c>
      <c r="C14" s="7" t="n">
        <f aca="false">ROUND(C12*C13,0)</f>
        <v>181</v>
      </c>
      <c r="D14" s="7" t="n">
        <f aca="false">ROUND(D12*D13,0)</f>
        <v>86</v>
      </c>
      <c r="E14" s="6" t="s">
        <v>36</v>
      </c>
    </row>
    <row r="15" customFormat="false" ht="24" hidden="false" customHeight="true" outlineLevel="0" collapsed="false">
      <c r="A15" s="4" t="s">
        <v>37</v>
      </c>
      <c r="B15" s="5" t="n">
        <v>3300</v>
      </c>
      <c r="C15" s="5" t="n">
        <v>1640</v>
      </c>
      <c r="D15" s="5" t="n">
        <v>2400</v>
      </c>
      <c r="E15" s="6" t="s">
        <v>38</v>
      </c>
    </row>
    <row r="16" customFormat="false" ht="24" hidden="false" customHeight="true" outlineLevel="0" collapsed="false">
      <c r="A16" s="4" t="s">
        <v>39</v>
      </c>
      <c r="B16" s="8" t="n">
        <f aca="false">ROUND(B14*B15,0)</f>
        <v>372900</v>
      </c>
      <c r="C16" s="8" t="n">
        <f aca="false">ROUND(C14*C15,0)</f>
        <v>296840</v>
      </c>
      <c r="D16" s="8" t="n">
        <f aca="false">ROUND(D14*D15,0)</f>
        <v>206400</v>
      </c>
      <c r="E16" s="6"/>
    </row>
    <row r="17" customFormat="false" ht="24" hidden="false" customHeight="true" outlineLevel="0" collapsed="false">
      <c r="A17" s="4" t="s">
        <v>40</v>
      </c>
      <c r="B17" s="5" t="s">
        <v>41</v>
      </c>
      <c r="C17" s="5" t="s">
        <v>42</v>
      </c>
      <c r="D17" s="5" t="s">
        <v>43</v>
      </c>
      <c r="E17" s="6" t="s">
        <v>44</v>
      </c>
    </row>
    <row r="18" customFormat="false" ht="24" hidden="false" customHeight="true" outlineLevel="0" collapsed="false">
      <c r="A18" s="4" t="s">
        <v>45</v>
      </c>
      <c r="B18" s="5" t="s">
        <v>46</v>
      </c>
      <c r="C18" s="5" t="s">
        <v>47</v>
      </c>
      <c r="D18" s="5" t="s">
        <v>48</v>
      </c>
      <c r="E18" s="6" t="s">
        <v>49</v>
      </c>
    </row>
    <row r="19" customFormat="false" ht="24" hidden="false" customHeight="true" outlineLevel="0" collapsed="false">
      <c r="A19" s="4" t="s">
        <v>50</v>
      </c>
      <c r="B19" s="7" t="n">
        <f aca="false">ROUND(B14*0.04,1)</f>
        <v>4.5</v>
      </c>
      <c r="C19" s="7" t="n">
        <f aca="false">ROUND(C14*0.03,1)</f>
        <v>5.4</v>
      </c>
      <c r="D19" s="7" t="n">
        <f aca="false">ROUND(D14*0.035,1)</f>
        <v>3</v>
      </c>
      <c r="E19" s="6"/>
    </row>
    <row r="20" customFormat="false" ht="24" hidden="false" customHeight="true" outlineLevel="0" collapsed="false">
      <c r="A20" s="4" t="s">
        <v>51</v>
      </c>
      <c r="B20" s="9" t="n">
        <f aca="false">ROUND(B16/B19,0)</f>
        <v>82867</v>
      </c>
      <c r="C20" s="9" t="n">
        <f aca="false">ROUND(C16/C19,0)</f>
        <v>54970</v>
      </c>
      <c r="D20" s="9" t="n">
        <f aca="false">ROUND(D16/D19,0)</f>
        <v>68800</v>
      </c>
      <c r="E20" s="6" t="s">
        <v>52</v>
      </c>
    </row>
    <row r="22" customFormat="false" ht="39.75" hidden="false" customHeight="true" outlineLevel="0" collapsed="false">
      <c r="A22" s="10" t="s">
        <v>53</v>
      </c>
      <c r="B22" s="10"/>
      <c r="C22" s="10"/>
      <c r="D22" s="10"/>
      <c r="E22" s="10"/>
    </row>
    <row r="23" customFormat="false" ht="39.75" hidden="false" customHeight="true" outlineLevel="0" collapsed="false">
      <c r="A23" s="10" t="s">
        <v>54</v>
      </c>
      <c r="B23" s="10"/>
      <c r="C23" s="10"/>
      <c r="D23" s="10"/>
      <c r="E23" s="10"/>
    </row>
    <row r="24" customFormat="false" ht="39.75" hidden="false" customHeight="true" outlineLevel="0" collapsed="false">
      <c r="A24" s="10" t="s">
        <v>55</v>
      </c>
      <c r="B24" s="10"/>
      <c r="C24" s="10"/>
      <c r="D24" s="10"/>
      <c r="E24" s="10"/>
    </row>
    <row r="25" customFormat="false" ht="39.75" hidden="false" customHeight="true" outlineLevel="0" collapsed="false">
      <c r="A25" s="10" t="s">
        <v>56</v>
      </c>
      <c r="B25" s="10"/>
      <c r="C25" s="10"/>
      <c r="D25" s="10"/>
      <c r="E25" s="10"/>
    </row>
    <row r="27" customFormat="false" ht="15" hidden="false" customHeight="false" outlineLevel="0" collapsed="false">
      <c r="A27" s="11" t="s">
        <v>57</v>
      </c>
    </row>
    <row r="28" customFormat="false" ht="30" hidden="false" customHeight="true" outlineLevel="0" collapsed="false">
      <c r="A28" s="10" t="s">
        <v>58</v>
      </c>
      <c r="B28" s="10"/>
      <c r="C28" s="10"/>
      <c r="D28" s="10"/>
      <c r="E28" s="10"/>
    </row>
    <row r="29" customFormat="false" ht="30" hidden="false" customHeight="true" outlineLevel="0" collapsed="false">
      <c r="A29" s="10" t="s">
        <v>59</v>
      </c>
      <c r="B29" s="10"/>
      <c r="C29" s="10"/>
      <c r="D29" s="10"/>
      <c r="E29" s="10"/>
    </row>
    <row r="30" customFormat="false" ht="30" hidden="false" customHeight="true" outlineLevel="0" collapsed="false">
      <c r="A30" s="10" t="s">
        <v>60</v>
      </c>
      <c r="B30" s="10"/>
      <c r="C30" s="10"/>
      <c r="D30" s="10"/>
      <c r="E30" s="10"/>
    </row>
    <row r="32" customFormat="false" ht="30" hidden="false" customHeight="true" outlineLevel="0" collapsed="false">
      <c r="A32" s="12" t="s">
        <v>61</v>
      </c>
      <c r="B32" s="12"/>
      <c r="C32" s="12"/>
      <c r="D32" s="12"/>
      <c r="E32" s="12"/>
    </row>
  </sheetData>
  <mergeCells count="10">
    <mergeCell ref="A1:E1"/>
    <mergeCell ref="A2:E2"/>
    <mergeCell ref="A22:E22"/>
    <mergeCell ref="A23:E23"/>
    <mergeCell ref="A24:E24"/>
    <mergeCell ref="A25:E25"/>
    <mergeCell ref="A28:E28"/>
    <mergeCell ref="A29:E29"/>
    <mergeCell ref="A30:E30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2026-09-17T19:17:17Z</dcterms:created>
  <dc:creator>openpyxl</dc:creator>
  <dc:description/>
  <dc:language>en-US</dc:language>
  <cp:lastModifiedBy/>
  <dcterms:modified xsi:type="dcterms:W3CDTF">2026-09-17T19:17:17Z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