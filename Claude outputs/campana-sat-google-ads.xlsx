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Grupos y keywords" sheetId="2" state="visible" r:id="rId4"/>
    <sheet name="Negativas" sheetId="3" state="visible" r:id="rId5"/>
    <sheet name="Anuncios RSA" sheetId="4" state="visible" r:id="rId6"/>
    <sheet name="Referencias SAT" sheetId="5" state="visible" r:id="rId7"/>
    <sheet name="Antes de encender" sheetId="6" state="visible" r:id="rId8"/>
  </sheets>
  <definedNames>
    <definedName function="false" hidden="true" localSheetId="3" name="_xlnm._FilterDatabase" vbProcedure="false">'Anuncios RSA'!$A$1:$F$55</definedName>
    <definedName function="false" hidden="true" localSheetId="1" name="_xlnm._FilterDatabase" vbProcedure="false">'Grupos y keywords'!$A$1:$G$32</definedName>
    <definedName function="false" hidden="true" localSheetId="2" name="_xlnm._FilterDatabase" vbProcedure="false">Negativas!$A$1:$C$67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<sst xmlns="http://schemas.openxmlformats.org/spreadsheetml/2006/main" count="594" uniqueCount="245">
  <si>
    <t xml:space="preserve">Campaña SAT · Google Ads · Netpower IT</t>
  </si>
  <si>
    <t xml:space="preserve">Cuenta de conversión</t>
  </si>
  <si>
    <t xml:space="preserve">AW-18420851379</t>
  </si>
  <si>
    <t xml:space="preserve">Tipo de campaña</t>
  </si>
  <si>
    <t xml:space="preserve">Solo Búsqueda. Sin socios de búsqueda, sin Display, sin Performance Max</t>
  </si>
  <si>
    <t xml:space="preserve">Vigencia</t>
  </si>
  <si>
    <t xml:space="preserve">17 de septiembre a 16 de octubre de 2026 (30 días corridos)</t>
  </si>
  <si>
    <t xml:space="preserve">Presupuesto total</t>
  </si>
  <si>
    <t xml:space="preserve">$300.000 COP (bono de apoyo comercial SAT)</t>
  </si>
  <si>
    <t xml:space="preserve">Presupuesto diario</t>
  </si>
  <si>
    <t xml:space="preserve">$10.000 COP</t>
  </si>
  <si>
    <t xml:space="preserve">Estrategia de puja</t>
  </si>
  <si>
    <t xml:space="preserve">Maximizar clics con límite de CPC de $1.800 COP</t>
  </si>
  <si>
    <t xml:space="preserve">Por qué no puja inteligente</t>
  </si>
  <si>
    <t xml:space="preserve">No hay historial de conversiones. Una puja automática sin datos gasta el presupuesto aprendiendo</t>
  </si>
  <si>
    <t xml:space="preserve">Concordancia</t>
  </si>
  <si>
    <t xml:space="preserve">Exacta y de frase. Cero amplia</t>
  </si>
  <si>
    <t xml:space="preserve">Ubicación</t>
  </si>
  <si>
    <t xml:space="preserve">Colombia. Presencia: personas que están en Colombia (no 'interesadas en')</t>
  </si>
  <si>
    <t xml:space="preserve">Idioma</t>
  </si>
  <si>
    <t xml:space="preserve">Español</t>
  </si>
  <si>
    <t xml:space="preserve">Horario</t>
  </si>
  <si>
    <t xml:space="preserve">Lunes a viernes 7:00–18:00, sábado 8:00–13:00</t>
  </si>
  <si>
    <t xml:space="preserve">Red de display</t>
  </si>
  <si>
    <t xml:space="preserve">Desactivada explícitamente</t>
  </si>
  <si>
    <t xml:space="preserve">Conversión a optimizar</t>
  </si>
  <si>
    <t xml:space="preserve">Cotización enviada (formulario de contacto y chat Neti)</t>
  </si>
  <si>
    <t xml:space="preserve">Estado</t>
  </si>
  <si>
    <t xml:space="preserve">LISTA PARA REVISIÓN. No publicada</t>
  </si>
  <si>
    <t xml:space="preserve">Estimación de resultados</t>
  </si>
  <si>
    <t xml:space="preserve">Clics estimados</t>
  </si>
  <si>
    <t xml:space="preserve">CPC promedio supuesto (COP)</t>
  </si>
  <si>
    <t xml:space="preserve">Clics por día</t>
  </si>
  <si>
    <t xml:space="preserve">Oportunidades al 2%</t>
  </si>
  <si>
    <t xml:space="preserve">Oportunidades al 4%</t>
  </si>
  <si>
    <t xml:space="preserve">El CPC de $1.400 es un supuesto, en amarillo, tomado del rango 0,16–0,57 USD de Ubersuggest con TRM ~4.000. Cambialo y el resto se recalcula. Es una estimación, no una promesa.</t>
  </si>
  <si>
    <t xml:space="preserve">Grupo de anuncios</t>
  </si>
  <si>
    <t xml:space="preserve">Keyword</t>
  </si>
  <si>
    <t xml:space="preserve">Vol./mes CO</t>
  </si>
  <si>
    <t xml:space="preserve">CPC ref. USD</t>
  </si>
  <si>
    <t xml:space="preserve">CPC máx. COP</t>
  </si>
  <si>
    <t xml:space="preserve">Landing</t>
  </si>
  <si>
    <t xml:space="preserve">UPS Online SAT</t>
  </si>
  <si>
    <t xml:space="preserve">ups online</t>
  </si>
  <si>
    <t xml:space="preserve">Frase</t>
  </si>
  <si>
    <t xml:space="preserve">https://netpowerit.co/producto/ups-online-monofasica-sat-uol3</t>
  </si>
  <si>
    <t xml:space="preserve">ups 3kva</t>
  </si>
  <si>
    <t xml:space="preserve">Exacta</t>
  </si>
  <si>
    <t xml:space="preserve">ups online 3kva</t>
  </si>
  <si>
    <t xml:space="preserve">ups 2kva</t>
  </si>
  <si>
    <t xml:space="preserve">https://netpowerit.co/producto/ups-online-monofasica-sat-uol2</t>
  </si>
  <si>
    <t xml:space="preserve">ups online 2kva</t>
  </si>
  <si>
    <t xml:space="preserve">ups online doble conversion</t>
  </si>
  <si>
    <t xml:space="preserve">ups 6kva</t>
  </si>
  <si>
    <t xml:space="preserve">https://netpowerit.co/producto/ups-online-bifasica-sat-uol600</t>
  </si>
  <si>
    <t xml:space="preserve">ups bifasica</t>
  </si>
  <si>
    <t xml:space="preserve">ups para servidor</t>
  </si>
  <si>
    <t xml:space="preserve">ups para rack</t>
  </si>
  <si>
    <t xml:space="preserve">UPS Interactiva SAT</t>
  </si>
  <si>
    <t xml:space="preserve">ups interactiva</t>
  </si>
  <si>
    <t xml:space="preserve">https://netpowerit.co/producto/ups-interactiva-led-sat-ur1000</t>
  </si>
  <si>
    <t xml:space="preserve">ups 1000va</t>
  </si>
  <si>
    <t xml:space="preserve">ups 1kva</t>
  </si>
  <si>
    <t xml:space="preserve">ups para una pc</t>
  </si>
  <si>
    <t xml:space="preserve">https://netpowerit.co/producto/ups-interactiva-led-sat-ur750</t>
  </si>
  <si>
    <t xml:space="preserve">ups para pc</t>
  </si>
  <si>
    <t xml:space="preserve">ups 750va</t>
  </si>
  <si>
    <t xml:space="preserve">ups 1500va</t>
  </si>
  <si>
    <t xml:space="preserve">https://netpowerit.co/producto/ups-interactiva-led-sat-ur1500</t>
  </si>
  <si>
    <t xml:space="preserve">ups 2000va</t>
  </si>
  <si>
    <t xml:space="preserve">https://netpowerit.co/producto/ups-interactiva-led-sat-ur2000</t>
  </si>
  <si>
    <t xml:space="preserve">mini ups</t>
  </si>
  <si>
    <t xml:space="preserve">ups precio</t>
  </si>
  <si>
    <t xml:space="preserve">ups regulador de voltaje</t>
  </si>
  <si>
    <t xml:space="preserve">Marca SAT</t>
  </si>
  <si>
    <t xml:space="preserve">ups sat</t>
  </si>
  <si>
    <t xml:space="preserve">ups sat 750</t>
  </si>
  <si>
    <t xml:space="preserve">sat ur750</t>
  </si>
  <si>
    <t xml:space="preserve">sat ur1000</t>
  </si>
  <si>
    <t xml:space="preserve">sat ur1500</t>
  </si>
  <si>
    <t xml:space="preserve">sat ur2000</t>
  </si>
  <si>
    <t xml:space="preserve">sat uol2000</t>
  </si>
  <si>
    <t xml:space="preserve">sat uol3000</t>
  </si>
  <si>
    <t xml:space="preserve">sat uol6000</t>
  </si>
  <si>
    <t xml:space="preserve">ups marca sat</t>
  </si>
  <si>
    <t xml:space="preserve">Negativa</t>
  </si>
  <si>
    <t xml:space="preserve">Por qué</t>
  </si>
  <si>
    <t xml:space="preserve">tracking</t>
  </si>
  <si>
    <t xml:space="preserve">Paquetería UPS. 'ups' tiene 40.500 búsquedas/mes en Colombia y casi todas son de envíos</t>
  </si>
  <si>
    <t xml:space="preserve">track</t>
  </si>
  <si>
    <t xml:space="preserve">rastreo</t>
  </si>
  <si>
    <t xml:space="preserve">rastrear</t>
  </si>
  <si>
    <t xml:space="preserve">guia</t>
  </si>
  <si>
    <t xml:space="preserve">guía</t>
  </si>
  <si>
    <t xml:space="preserve">envio</t>
  </si>
  <si>
    <t xml:space="preserve">envío</t>
  </si>
  <si>
    <t xml:space="preserve">envios</t>
  </si>
  <si>
    <t xml:space="preserve">paquete</t>
  </si>
  <si>
    <t xml:space="preserve">courier</t>
  </si>
  <si>
    <t xml:space="preserve">store</t>
  </si>
  <si>
    <t xml:space="preserve">tienda ups</t>
  </si>
  <si>
    <t xml:space="preserve">oficina</t>
  </si>
  <si>
    <t xml:space="preserve">sucursal</t>
  </si>
  <si>
    <t xml:space="preserve">telefono</t>
  </si>
  <si>
    <t xml:space="preserve">teléfono</t>
  </si>
  <si>
    <t xml:space="preserve">jobs</t>
  </si>
  <si>
    <t xml:space="preserve">empleo</t>
  </si>
  <si>
    <t xml:space="preserve">trabajar</t>
  </si>
  <si>
    <t xml:space="preserve">cerca de mi</t>
  </si>
  <si>
    <t xml:space="preserve">usa</t>
  </si>
  <si>
    <t xml:space="preserve">eeuu</t>
  </si>
  <si>
    <t xml:space="preserve">push</t>
  </si>
  <si>
    <t xml:space="preserve">Inglés: push ups, mock ups, glow ups. Nada que ver con energía</t>
  </si>
  <si>
    <t xml:space="preserve">pull</t>
  </si>
  <si>
    <t xml:space="preserve">sit</t>
  </si>
  <si>
    <t xml:space="preserve">chin</t>
  </si>
  <si>
    <t xml:space="preserve">muscle</t>
  </si>
  <si>
    <t xml:space="preserve">mock</t>
  </si>
  <si>
    <t xml:space="preserve">glow</t>
  </si>
  <si>
    <t xml:space="preserve">grown</t>
  </si>
  <si>
    <t xml:space="preserve">step</t>
  </si>
  <si>
    <t xml:space="preserve">warm</t>
  </si>
  <si>
    <t xml:space="preserve">close</t>
  </si>
  <si>
    <t xml:space="preserve">throw</t>
  </si>
  <si>
    <t xml:space="preserve">pop</t>
  </si>
  <si>
    <t xml:space="preserve">sign</t>
  </si>
  <si>
    <t xml:space="preserve">make</t>
  </si>
  <si>
    <t xml:space="preserve">line</t>
  </si>
  <si>
    <t xml:space="preserve">start</t>
  </si>
  <si>
    <t xml:space="preserve">set</t>
  </si>
  <si>
    <t xml:space="preserve">back</t>
  </si>
  <si>
    <t xml:space="preserve">que es</t>
  </si>
  <si>
    <t xml:space="preserve">Intención informativa, de segunda mano o de servicio. No compra</t>
  </si>
  <si>
    <t xml:space="preserve">qué es</t>
  </si>
  <si>
    <t xml:space="preserve">que significa</t>
  </si>
  <si>
    <t xml:space="preserve">curso</t>
  </si>
  <si>
    <t xml:space="preserve">gratis</t>
  </si>
  <si>
    <t xml:space="preserve">usado</t>
  </si>
  <si>
    <t xml:space="preserve">usada</t>
  </si>
  <si>
    <t xml:space="preserve">segunda</t>
  </si>
  <si>
    <t xml:space="preserve">reparacion</t>
  </si>
  <si>
    <t xml:space="preserve">reparación</t>
  </si>
  <si>
    <t xml:space="preserve">alquiler</t>
  </si>
  <si>
    <t xml:space="preserve">arriendo</t>
  </si>
  <si>
    <t xml:space="preserve">manual</t>
  </si>
  <si>
    <t xml:space="preserve">pdf</t>
  </si>
  <si>
    <t xml:space="preserve">simbolo</t>
  </si>
  <si>
    <t xml:space="preserve">significado</t>
  </si>
  <si>
    <t xml:space="preserve">apc</t>
  </si>
  <si>
    <t xml:space="preserve">OPCIONAL: marca competidora. Quitala si querés pelear esas búsquedas</t>
  </si>
  <si>
    <t xml:space="preserve">forza</t>
  </si>
  <si>
    <t xml:space="preserve">cdp</t>
  </si>
  <si>
    <t xml:space="preserve">unitec</t>
  </si>
  <si>
    <t xml:space="preserve">powest</t>
  </si>
  <si>
    <t xml:space="preserve">vertiv</t>
  </si>
  <si>
    <t xml:space="preserve">eaton</t>
  </si>
  <si>
    <t xml:space="preserve">tripp lite</t>
  </si>
  <si>
    <t xml:space="preserve">Grupo</t>
  </si>
  <si>
    <t xml:space="preserve">Tipo</t>
  </si>
  <si>
    <t xml:space="preserve">Nº</t>
  </si>
  <si>
    <t xml:space="preserve">Texto</t>
  </si>
  <si>
    <t xml:space="preserve">Caracteres</t>
  </si>
  <si>
    <t xml:space="preserve">Límite</t>
  </si>
  <si>
    <t xml:space="preserve">Título</t>
  </si>
  <si>
    <t xml:space="preserve">UPS Online SAT 2 y 3 kVA</t>
  </si>
  <si>
    <t xml:space="preserve">UPS Online Doble Conversión</t>
  </si>
  <si>
    <t xml:space="preserve">UPS para Servidores y Rack</t>
  </si>
  <si>
    <t xml:space="preserve">UPS Online 3 kVA con LCD</t>
  </si>
  <si>
    <t xml:space="preserve">Cotiza tu UPS Online Hoy</t>
  </si>
  <si>
    <t xml:space="preserve">UPS Online Bifásica 6 kVA</t>
  </si>
  <si>
    <t xml:space="preserve">Respaldo Real para tu Data</t>
  </si>
  <si>
    <t xml:space="preserve">Distribuidor Oficial SAT</t>
  </si>
  <si>
    <t xml:space="preserve">Entrega en Toda Colombia</t>
  </si>
  <si>
    <t xml:space="preserve">Asesoría Técnica Sin Costo</t>
  </si>
  <si>
    <t xml:space="preserve">Garantía Oficial de Fábrica</t>
  </si>
  <si>
    <t xml:space="preserve">UPS Online para Empresas</t>
  </si>
  <si>
    <t xml:space="preserve">Descripción</t>
  </si>
  <si>
    <t xml:space="preserve">Doble conversión verdadera para servidores y equipos críticos. Cotización en 5 minutos.</t>
  </si>
  <si>
    <t xml:space="preserve">UPS Online SAT de 2, 3 y 6 kVA. Distribuidor oficial. Asesoría técnica incluida.</t>
  </si>
  <si>
    <t xml:space="preserve">Protege tus servidores de cortes y picos. Cotiza con un ingeniero, no con un formulario.</t>
  </si>
  <si>
    <t xml:space="preserve">Stock disponible y entrega en toda Colombia. Garantía oficial de fábrica.</t>
  </si>
  <si>
    <t xml:space="preserve">Ruta visible</t>
  </si>
  <si>
    <t xml:space="preserve">ups-online</t>
  </si>
  <si>
    <t xml:space="preserve">sat</t>
  </si>
  <si>
    <t xml:space="preserve">UPS para PC desde 750 VA</t>
  </si>
  <si>
    <t xml:space="preserve">UPS con Regulador y LCD</t>
  </si>
  <si>
    <t xml:space="preserve">UPS 1000 VA para Oficina</t>
  </si>
  <si>
    <t xml:space="preserve">UPS SAT 750 a 2000 VA</t>
  </si>
  <si>
    <t xml:space="preserve">Cotiza tu UPS en Minutos</t>
  </si>
  <si>
    <t xml:space="preserve">Protege tu PC de los Picos</t>
  </si>
  <si>
    <t xml:space="preserve">UPS Interactiva con LED</t>
  </si>
  <si>
    <t xml:space="preserve">Respaldo para Casa y Oficina</t>
  </si>
  <si>
    <t xml:space="preserve">UPS interactiva SAT de 750 a 2000 VA con pantalla LED. Cotización el mismo día.</t>
  </si>
  <si>
    <t xml:space="preserve">Regula el voltaje y da respaldo a tu PC. Distribuidor oficial con garantía.</t>
  </si>
  <si>
    <t xml:space="preserve">Para casa, oficina o punto de venta. Asesoría para elegir la capacidad correcta.</t>
  </si>
  <si>
    <t xml:space="preserve">Stock disponible. Entrega en toda Colombia y soporte técnico local.</t>
  </si>
  <si>
    <t xml:space="preserve">ups-interactiva</t>
  </si>
  <si>
    <t xml:space="preserve">UPS SAT en Colombia</t>
  </si>
  <si>
    <t xml:space="preserve">SAT UR750, UR1000, UR1500</t>
  </si>
  <si>
    <t xml:space="preserve">UPS SAT Online y Interactiva</t>
  </si>
  <si>
    <t xml:space="preserve">SAT UOL2000 y UOL3000</t>
  </si>
  <si>
    <t xml:space="preserve">Catálogo SAT Completo</t>
  </si>
  <si>
    <t xml:space="preserve">UPS SAT con Garantía</t>
  </si>
  <si>
    <t xml:space="preserve">Cotiza tu UPS SAT Hoy</t>
  </si>
  <si>
    <t xml:space="preserve">SAT UR2000 Disponible</t>
  </si>
  <si>
    <t xml:space="preserve">Referencias SAT en Stock</t>
  </si>
  <si>
    <t xml:space="preserve">Línea completa SAT: UR750, UR1000, UR1500, UR2000, UOL2000, UOL3000 y UOL6000.</t>
  </si>
  <si>
    <t xml:space="preserve">Distribuidor oficial SAT en Colombia. Garantía de fábrica y soporte local.</t>
  </si>
  <si>
    <t xml:space="preserve">¿Buscás una referencia SAT puntual? Escribinos y te cotizamos el mismo día.</t>
  </si>
  <si>
    <t xml:space="preserve">UPS SAT interactivas y online. Stock disponible y entrega nacional.</t>
  </si>
  <si>
    <t xml:space="preserve">ups-sat</t>
  </si>
  <si>
    <t xml:space="preserve">catalogo</t>
  </si>
  <si>
    <t xml:space="preserve">Producto</t>
  </si>
  <si>
    <t xml:space="preserve">Precio en la web</t>
  </si>
  <si>
    <t xml:space="preserve">Stock</t>
  </si>
  <si>
    <t xml:space="preserve">UPS INTERACTIVA LED SAT UR750 + 120VAC 750/360W</t>
  </si>
  <si>
    <t xml:space="preserve">Activo</t>
  </si>
  <si>
    <t xml:space="preserve">UPS INTERACTIVA LED SAT UR1000 + 120VAC 750/500W</t>
  </si>
  <si>
    <t xml:space="preserve">UPS INTERACTIVA LED SAT UR1500 + 120VAC 750/900W</t>
  </si>
  <si>
    <t xml:space="preserve">UPS INTERACTIVA LED SAT UR2000 + 120VAC 750/1200W</t>
  </si>
  <si>
    <t xml:space="preserve">UPS ONLINE MONOFASICA SAT UOL2000+LCD 120V 2KVA</t>
  </si>
  <si>
    <t xml:space="preserve">UPS ONLINE MONOFASICA SAT UOL3000+LCD 120V 3KVA</t>
  </si>
  <si>
    <t xml:space="preserve">UPS ONLINE BIFASICA SAT UOL6000+LCD 120V 6KVA</t>
  </si>
  <si>
    <t xml:space="preserve">Las 7 referencias están en $0. Consultado en producción el 17 de septiembre de 2026. Un anuncio que lleva a una ficha con precio $0 baja el nivel de calidad, sube el CPC y hace que el visitante se vaya. Hay que poner precio o quitar el precio de la ficha antes de encender la campaña.</t>
  </si>
  <si>
    <t xml:space="preserve">#</t>
  </si>
  <si>
    <t xml:space="preserve">Qué falta</t>
  </si>
  <si>
    <t xml:space="preserve">Quién</t>
  </si>
  <si>
    <t xml:space="preserve">Bloquea el encendido</t>
  </si>
  <si>
    <t xml:space="preserve">Poner precio a las 7 referencias SAT, o quitar el precio de la ficha. Hoy las 7 muestran $0.</t>
  </si>
  <si>
    <t xml:space="preserve">Netpower</t>
  </si>
  <si>
    <t xml:space="preserve">Sí</t>
  </si>
  <si>
    <t xml:space="preserve">Subir el commit del tag a producción. El código está listo y commiteado, falta push y deploy.</t>
  </si>
  <si>
    <t xml:space="preserve">Mafe</t>
  </si>
  <si>
    <t xml:space="preserve">Crear la acción de conversión en Google Ads sobre 'Cotización enviada', o importar el evento cotizacion_enviada desde GA4.</t>
  </si>
  <si>
    <t xml:space="preserve">Pauta</t>
  </si>
  <si>
    <t xml:space="preserve">Pegar el identificador de la conversión en VITE_ADS_CONV_COTIZACION y volver a desplegar. Sin eso la campaña no registra nada.</t>
  </si>
  <si>
    <t xml:space="preserve">Desarrollo</t>
  </si>
  <si>
    <t xml:space="preserve">Probar una cotización real y verificar que la conversión llega a Google Ads antes del primer clic.</t>
  </si>
  <si>
    <t xml:space="preserve">Cargar la lista de negativas completa. Sin ella, 'ups' se lleva el presupuesto rastreando paquetes.</t>
  </si>
  <si>
    <t xml:space="preserve">Confirmar por escrito con SAT si la nota crédito depende de alcanzar los USD 3.000 o solo de ejecutar el bono.</t>
  </si>
  <si>
    <t xml:space="preserve">No, pero define el riesgo</t>
  </si>
  <si>
    <t xml:space="preserve">Agregar g:brand al feed de Merchant Center para habilitar fichas gratuitas de Shopping.</t>
  </si>
  <si>
    <t xml:space="preserve">No</t>
  </si>
  <si>
    <t xml:space="preserve">Confirmar la ventana con SAT: el bono vencía el 21 de septiembre y esta campaña corre hasta el 16 de octubre.</t>
  </si>
  <si>
    <t xml:space="preserve">No, pero define si el bono se devuelve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</si>
</sst>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8" customFormat="false" ht="15" hidden="false" customHeight="false" outlineLevel="0" collapsed="false">
      <c r="A18" s="4" t="s">
        <v>29</v>
      </c>
    </row>
    <row r="19" customFormat="false" ht="15" hidden="false" customHeight="false" outlineLevel="0" collapsed="false">
      <c r="A19" s="5" t="s">
        <v>30</v>
      </c>
      <c r="B19" s="6" t="n">
        <f aca="false">ROUND(300000/B20,0)</f>
        <v>214</v>
      </c>
    </row>
    <row r="20" customFormat="false" ht="15" hidden="false" customHeight="false" outlineLevel="0" collapsed="false">
      <c r="A20" s="5" t="s">
        <v>31</v>
      </c>
      <c r="B20" s="7" t="n">
        <v>1400</v>
      </c>
    </row>
    <row r="21" customFormat="false" ht="15" hidden="false" customHeight="false" outlineLevel="0" collapsed="false">
      <c r="A21" s="5" t="s">
        <v>32</v>
      </c>
      <c r="B21" s="6" t="n">
        <f aca="false">ROUND(B19/30,0)</f>
        <v>7</v>
      </c>
    </row>
    <row r="22" customFormat="false" ht="15" hidden="false" customHeight="false" outlineLevel="0" collapsed="false">
      <c r="A22" s="5" t="s">
        <v>33</v>
      </c>
      <c r="B22" s="6" t="n">
        <f aca="false">ROUND(B19*0.02,0)</f>
        <v>4</v>
      </c>
    </row>
    <row r="23" customFormat="false" ht="15" hidden="false" customHeight="false" outlineLevel="0" collapsed="false">
      <c r="A23" s="5" t="s">
        <v>34</v>
      </c>
      <c r="B23" s="6" t="n">
        <f aca="false">ROUND(B19*0.04,0)</f>
        <v>9</v>
      </c>
    </row>
    <row r="25" customFormat="false" ht="30" hidden="false" customHeight="true" outlineLevel="0" collapsed="false">
      <c r="A25" s="8" t="s">
        <v>35</v>
      </c>
      <c r="B25" s="8"/>
    </row>
  </sheetData>
  <mergeCells count="2">
    <mergeCell ref="A1:B1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23.85" hidden="false" customHeight="false" outlineLevel="0" collapsed="false">
      <c r="A1" s="9" t="s">
        <v>36</v>
      </c>
      <c r="B1" s="9" t="s">
        <v>37</v>
      </c>
      <c r="C1" s="9" t="s">
        <v>15</v>
      </c>
      <c r="D1" s="9" t="s">
        <v>38</v>
      </c>
      <c r="E1" s="9" t="s">
        <v>39</v>
      </c>
      <c r="F1" s="9" t="s">
        <v>40</v>
      </c>
      <c r="G1" s="9" t="s">
        <v>41</v>
      </c>
    </row>
    <row r="2" customFormat="false" ht="15" hidden="false" customHeight="false" outlineLevel="0" collapsed="false">
      <c r="A2" s="10" t="s">
        <v>42</v>
      </c>
      <c r="B2" s="10" t="s">
        <v>43</v>
      </c>
      <c r="C2" s="10" t="s">
        <v>44</v>
      </c>
      <c r="D2" s="10" t="n">
        <v>260</v>
      </c>
      <c r="E2" s="10" t="n">
        <v>0.57</v>
      </c>
      <c r="F2" s="10" t="n">
        <v>1800</v>
      </c>
      <c r="G2" s="10" t="s">
        <v>45</v>
      </c>
    </row>
    <row r="3" customFormat="false" ht="15" hidden="false" customHeight="false" outlineLevel="0" collapsed="false">
      <c r="A3" s="10" t="s">
        <v>42</v>
      </c>
      <c r="B3" s="10" t="s">
        <v>46</v>
      </c>
      <c r="C3" s="10" t="s">
        <v>47</v>
      </c>
      <c r="D3" s="10" t="n">
        <v>390</v>
      </c>
      <c r="E3" s="10" t="n">
        <v>0.55</v>
      </c>
      <c r="F3" s="10" t="n">
        <v>1800</v>
      </c>
      <c r="G3" s="10" t="s">
        <v>45</v>
      </c>
    </row>
    <row r="4" customFormat="false" ht="15" hidden="false" customHeight="false" outlineLevel="0" collapsed="false">
      <c r="A4" s="10" t="s">
        <v>42</v>
      </c>
      <c r="B4" s="10" t="s">
        <v>48</v>
      </c>
      <c r="C4" s="10" t="s">
        <v>47</v>
      </c>
      <c r="D4" s="10"/>
      <c r="E4" s="10"/>
      <c r="F4" s="10" t="n">
        <v>1800</v>
      </c>
      <c r="G4" s="10" t="s">
        <v>45</v>
      </c>
    </row>
    <row r="5" customFormat="false" ht="15" hidden="false" customHeight="false" outlineLevel="0" collapsed="false">
      <c r="A5" s="10" t="s">
        <v>42</v>
      </c>
      <c r="B5" s="10" t="s">
        <v>49</v>
      </c>
      <c r="C5" s="10" t="s">
        <v>47</v>
      </c>
      <c r="D5" s="10"/>
      <c r="E5" s="10"/>
      <c r="F5" s="10" t="n">
        <v>1800</v>
      </c>
      <c r="G5" s="10" t="s">
        <v>50</v>
      </c>
    </row>
    <row r="6" customFormat="false" ht="15" hidden="false" customHeight="false" outlineLevel="0" collapsed="false">
      <c r="A6" s="10" t="s">
        <v>42</v>
      </c>
      <c r="B6" s="10" t="s">
        <v>51</v>
      </c>
      <c r="C6" s="10" t="s">
        <v>47</v>
      </c>
      <c r="D6" s="10"/>
      <c r="E6" s="10"/>
      <c r="F6" s="10" t="n">
        <v>1800</v>
      </c>
      <c r="G6" s="10" t="s">
        <v>50</v>
      </c>
    </row>
    <row r="7" customFormat="false" ht="15" hidden="false" customHeight="false" outlineLevel="0" collapsed="false">
      <c r="A7" s="10" t="s">
        <v>42</v>
      </c>
      <c r="B7" s="10" t="s">
        <v>52</v>
      </c>
      <c r="C7" s="10" t="s">
        <v>44</v>
      </c>
      <c r="D7" s="10"/>
      <c r="E7" s="10"/>
      <c r="F7" s="10" t="n">
        <v>1800</v>
      </c>
      <c r="G7" s="10" t="s">
        <v>45</v>
      </c>
    </row>
    <row r="8" customFormat="false" ht="15" hidden="false" customHeight="false" outlineLevel="0" collapsed="false">
      <c r="A8" s="10" t="s">
        <v>42</v>
      </c>
      <c r="B8" s="10" t="s">
        <v>53</v>
      </c>
      <c r="C8" s="10" t="s">
        <v>47</v>
      </c>
      <c r="D8" s="10"/>
      <c r="E8" s="10"/>
      <c r="F8" s="10" t="n">
        <v>1800</v>
      </c>
      <c r="G8" s="10" t="s">
        <v>54</v>
      </c>
    </row>
    <row r="9" customFormat="false" ht="15" hidden="false" customHeight="false" outlineLevel="0" collapsed="false">
      <c r="A9" s="10" t="s">
        <v>42</v>
      </c>
      <c r="B9" s="10" t="s">
        <v>55</v>
      </c>
      <c r="C9" s="10" t="s">
        <v>44</v>
      </c>
      <c r="D9" s="10"/>
      <c r="E9" s="10"/>
      <c r="F9" s="10" t="n">
        <v>1800</v>
      </c>
      <c r="G9" s="10" t="s">
        <v>54</v>
      </c>
    </row>
    <row r="10" customFormat="false" ht="15" hidden="false" customHeight="false" outlineLevel="0" collapsed="false">
      <c r="A10" s="10" t="s">
        <v>42</v>
      </c>
      <c r="B10" s="10" t="s">
        <v>56</v>
      </c>
      <c r="C10" s="10" t="s">
        <v>44</v>
      </c>
      <c r="D10" s="10"/>
      <c r="E10" s="10"/>
      <c r="F10" s="10" t="n">
        <v>1800</v>
      </c>
      <c r="G10" s="10" t="s">
        <v>45</v>
      </c>
    </row>
    <row r="11" customFormat="false" ht="15" hidden="false" customHeight="false" outlineLevel="0" collapsed="false">
      <c r="A11" s="10" t="s">
        <v>42</v>
      </c>
      <c r="B11" s="10" t="s">
        <v>57</v>
      </c>
      <c r="C11" s="10" t="s">
        <v>44</v>
      </c>
      <c r="D11" s="10"/>
      <c r="E11" s="10"/>
      <c r="F11" s="10" t="n">
        <v>1800</v>
      </c>
      <c r="G11" s="10" t="s">
        <v>45</v>
      </c>
    </row>
    <row r="12" customFormat="false" ht="15" hidden="false" customHeight="false" outlineLevel="0" collapsed="false">
      <c r="A12" s="11" t="s">
        <v>58</v>
      </c>
      <c r="B12" s="11" t="s">
        <v>59</v>
      </c>
      <c r="C12" s="11" t="s">
        <v>44</v>
      </c>
      <c r="D12" s="11" t="n">
        <v>320</v>
      </c>
      <c r="E12" s="11" t="n">
        <v>0.22</v>
      </c>
      <c r="F12" s="11" t="n">
        <v>1200</v>
      </c>
      <c r="G12" s="11" t="s">
        <v>60</v>
      </c>
    </row>
    <row r="13" customFormat="false" ht="15" hidden="false" customHeight="false" outlineLevel="0" collapsed="false">
      <c r="A13" s="11" t="s">
        <v>58</v>
      </c>
      <c r="B13" s="11" t="s">
        <v>61</v>
      </c>
      <c r="C13" s="11" t="s">
        <v>47</v>
      </c>
      <c r="D13" s="11" t="n">
        <v>320</v>
      </c>
      <c r="E13" s="11" t="n">
        <v>0.23</v>
      </c>
      <c r="F13" s="11" t="n">
        <v>1200</v>
      </c>
      <c r="G13" s="11" t="s">
        <v>60</v>
      </c>
    </row>
    <row r="14" customFormat="false" ht="15" hidden="false" customHeight="false" outlineLevel="0" collapsed="false">
      <c r="A14" s="11" t="s">
        <v>58</v>
      </c>
      <c r="B14" s="11" t="s">
        <v>62</v>
      </c>
      <c r="C14" s="11" t="s">
        <v>47</v>
      </c>
      <c r="D14" s="11" t="n">
        <v>260</v>
      </c>
      <c r="E14" s="11" t="n">
        <v>0.31</v>
      </c>
      <c r="F14" s="11" t="n">
        <v>1200</v>
      </c>
      <c r="G14" s="11" t="s">
        <v>60</v>
      </c>
    </row>
    <row r="15" customFormat="false" ht="15" hidden="false" customHeight="false" outlineLevel="0" collapsed="false">
      <c r="A15" s="11" t="s">
        <v>58</v>
      </c>
      <c r="B15" s="11" t="s">
        <v>63</v>
      </c>
      <c r="C15" s="11" t="s">
        <v>47</v>
      </c>
      <c r="D15" s="11" t="n">
        <v>1900</v>
      </c>
      <c r="E15" s="11" t="n">
        <v>0.14</v>
      </c>
      <c r="F15" s="11" t="n">
        <v>1000</v>
      </c>
      <c r="G15" s="11" t="s">
        <v>64</v>
      </c>
    </row>
    <row r="16" customFormat="false" ht="15" hidden="false" customHeight="false" outlineLevel="0" collapsed="false">
      <c r="A16" s="11" t="s">
        <v>58</v>
      </c>
      <c r="B16" s="11" t="s">
        <v>65</v>
      </c>
      <c r="C16" s="11" t="s">
        <v>44</v>
      </c>
      <c r="D16" s="11"/>
      <c r="E16" s="11"/>
      <c r="F16" s="11" t="n">
        <v>1000</v>
      </c>
      <c r="G16" s="11" t="s">
        <v>64</v>
      </c>
    </row>
    <row r="17" customFormat="false" ht="15" hidden="false" customHeight="false" outlineLevel="0" collapsed="false">
      <c r="A17" s="11" t="s">
        <v>58</v>
      </c>
      <c r="B17" s="11" t="s">
        <v>66</v>
      </c>
      <c r="C17" s="11" t="s">
        <v>47</v>
      </c>
      <c r="D17" s="11"/>
      <c r="E17" s="11"/>
      <c r="F17" s="11" t="n">
        <v>1000</v>
      </c>
      <c r="G17" s="11" t="s">
        <v>64</v>
      </c>
    </row>
    <row r="18" customFormat="false" ht="15" hidden="false" customHeight="false" outlineLevel="0" collapsed="false">
      <c r="A18" s="11" t="s">
        <v>58</v>
      </c>
      <c r="B18" s="11" t="s">
        <v>67</v>
      </c>
      <c r="C18" s="11" t="s">
        <v>47</v>
      </c>
      <c r="D18" s="11"/>
      <c r="E18" s="11"/>
      <c r="F18" s="11" t="n">
        <v>1200</v>
      </c>
      <c r="G18" s="11" t="s">
        <v>68</v>
      </c>
    </row>
    <row r="19" customFormat="false" ht="15" hidden="false" customHeight="false" outlineLevel="0" collapsed="false">
      <c r="A19" s="11" t="s">
        <v>58</v>
      </c>
      <c r="B19" s="11" t="s">
        <v>69</v>
      </c>
      <c r="C19" s="11" t="s">
        <v>47</v>
      </c>
      <c r="D19" s="11"/>
      <c r="E19" s="11"/>
      <c r="F19" s="11" t="n">
        <v>1200</v>
      </c>
      <c r="G19" s="11" t="s">
        <v>70</v>
      </c>
    </row>
    <row r="20" customFormat="false" ht="15" hidden="false" customHeight="false" outlineLevel="0" collapsed="false">
      <c r="A20" s="11" t="s">
        <v>58</v>
      </c>
      <c r="B20" s="11" t="s">
        <v>71</v>
      </c>
      <c r="C20" s="11" t="s">
        <v>47</v>
      </c>
      <c r="D20" s="11" t="n">
        <v>480</v>
      </c>
      <c r="E20" s="11" t="n">
        <v>0.11</v>
      </c>
      <c r="F20" s="11" t="n">
        <v>900</v>
      </c>
      <c r="G20" s="11" t="s">
        <v>64</v>
      </c>
    </row>
    <row r="21" customFormat="false" ht="15" hidden="false" customHeight="false" outlineLevel="0" collapsed="false">
      <c r="A21" s="11" t="s">
        <v>58</v>
      </c>
      <c r="B21" s="11" t="s">
        <v>72</v>
      </c>
      <c r="C21" s="11" t="s">
        <v>47</v>
      </c>
      <c r="D21" s="11" t="n">
        <v>390</v>
      </c>
      <c r="E21" s="11" t="n">
        <v>0.16</v>
      </c>
      <c r="F21" s="11" t="n">
        <v>1200</v>
      </c>
      <c r="G21" s="11" t="s">
        <v>60</v>
      </c>
    </row>
    <row r="22" customFormat="false" ht="15" hidden="false" customHeight="false" outlineLevel="0" collapsed="false">
      <c r="A22" s="11" t="s">
        <v>58</v>
      </c>
      <c r="B22" s="11" t="s">
        <v>73</v>
      </c>
      <c r="C22" s="11" t="s">
        <v>44</v>
      </c>
      <c r="D22" s="11"/>
      <c r="E22" s="11"/>
      <c r="F22" s="11" t="n">
        <v>1000</v>
      </c>
      <c r="G22" s="11" t="s">
        <v>60</v>
      </c>
    </row>
    <row r="23" customFormat="false" ht="15" hidden="false" customHeight="false" outlineLevel="0" collapsed="false">
      <c r="A23" s="12" t="s">
        <v>74</v>
      </c>
      <c r="B23" s="12" t="s">
        <v>75</v>
      </c>
      <c r="C23" s="12" t="s">
        <v>47</v>
      </c>
      <c r="D23" s="12" t="n">
        <v>70</v>
      </c>
      <c r="E23" s="12" t="n">
        <v>0.34</v>
      </c>
      <c r="F23" s="12" t="n">
        <v>1500</v>
      </c>
      <c r="G23" s="12" t="s">
        <v>60</v>
      </c>
    </row>
    <row r="24" customFormat="false" ht="15" hidden="false" customHeight="false" outlineLevel="0" collapsed="false">
      <c r="A24" s="12" t="s">
        <v>74</v>
      </c>
      <c r="B24" s="12" t="s">
        <v>76</v>
      </c>
      <c r="C24" s="12" t="s">
        <v>47</v>
      </c>
      <c r="D24" s="12" t="n">
        <v>30</v>
      </c>
      <c r="E24" s="12" t="n">
        <v>0.12</v>
      </c>
      <c r="F24" s="12" t="n">
        <v>1500</v>
      </c>
      <c r="G24" s="12" t="s">
        <v>64</v>
      </c>
    </row>
    <row r="25" customFormat="false" ht="15" hidden="false" customHeight="false" outlineLevel="0" collapsed="false">
      <c r="A25" s="12" t="s">
        <v>74</v>
      </c>
      <c r="B25" s="12" t="s">
        <v>77</v>
      </c>
      <c r="C25" s="12" t="s">
        <v>47</v>
      </c>
      <c r="D25" s="12"/>
      <c r="E25" s="12"/>
      <c r="F25" s="12" t="n">
        <v>1500</v>
      </c>
      <c r="G25" s="12" t="s">
        <v>64</v>
      </c>
    </row>
    <row r="26" customFormat="false" ht="15" hidden="false" customHeight="false" outlineLevel="0" collapsed="false">
      <c r="A26" s="12" t="s">
        <v>74</v>
      </c>
      <c r="B26" s="12" t="s">
        <v>78</v>
      </c>
      <c r="C26" s="12" t="s">
        <v>47</v>
      </c>
      <c r="D26" s="12"/>
      <c r="E26" s="12"/>
      <c r="F26" s="12" t="n">
        <v>1500</v>
      </c>
      <c r="G26" s="12" t="s">
        <v>60</v>
      </c>
    </row>
    <row r="27" customFormat="false" ht="15" hidden="false" customHeight="false" outlineLevel="0" collapsed="false">
      <c r="A27" s="12" t="s">
        <v>74</v>
      </c>
      <c r="B27" s="12" t="s">
        <v>79</v>
      </c>
      <c r="C27" s="12" t="s">
        <v>47</v>
      </c>
      <c r="D27" s="12"/>
      <c r="E27" s="12"/>
      <c r="F27" s="12" t="n">
        <v>1500</v>
      </c>
      <c r="G27" s="12" t="s">
        <v>68</v>
      </c>
    </row>
    <row r="28" customFormat="false" ht="15" hidden="false" customHeight="false" outlineLevel="0" collapsed="false">
      <c r="A28" s="12" t="s">
        <v>74</v>
      </c>
      <c r="B28" s="12" t="s">
        <v>80</v>
      </c>
      <c r="C28" s="12" t="s">
        <v>47</v>
      </c>
      <c r="D28" s="12"/>
      <c r="E28" s="12"/>
      <c r="F28" s="12" t="n">
        <v>1500</v>
      </c>
      <c r="G28" s="12" t="s">
        <v>70</v>
      </c>
    </row>
    <row r="29" customFormat="false" ht="15" hidden="false" customHeight="false" outlineLevel="0" collapsed="false">
      <c r="A29" s="12" t="s">
        <v>74</v>
      </c>
      <c r="B29" s="12" t="s">
        <v>81</v>
      </c>
      <c r="C29" s="12" t="s">
        <v>47</v>
      </c>
      <c r="D29" s="12"/>
      <c r="E29" s="12"/>
      <c r="F29" s="12" t="n">
        <v>1500</v>
      </c>
      <c r="G29" s="12" t="s">
        <v>50</v>
      </c>
    </row>
    <row r="30" customFormat="false" ht="15" hidden="false" customHeight="false" outlineLevel="0" collapsed="false">
      <c r="A30" s="12" t="s">
        <v>74</v>
      </c>
      <c r="B30" s="12" t="s">
        <v>82</v>
      </c>
      <c r="C30" s="12" t="s">
        <v>47</v>
      </c>
      <c r="D30" s="12"/>
      <c r="E30" s="12"/>
      <c r="F30" s="12" t="n">
        <v>1500</v>
      </c>
      <c r="G30" s="12" t="s">
        <v>45</v>
      </c>
    </row>
    <row r="31" customFormat="false" ht="15" hidden="false" customHeight="false" outlineLevel="0" collapsed="false">
      <c r="A31" s="12" t="s">
        <v>74</v>
      </c>
      <c r="B31" s="12" t="s">
        <v>83</v>
      </c>
      <c r="C31" s="12" t="s">
        <v>47</v>
      </c>
      <c r="D31" s="12"/>
      <c r="E31" s="12"/>
      <c r="F31" s="12" t="n">
        <v>1500</v>
      </c>
      <c r="G31" s="12" t="s">
        <v>54</v>
      </c>
    </row>
    <row r="32" customFormat="false" ht="15" hidden="false" customHeight="false" outlineLevel="0" collapsed="false">
      <c r="A32" s="12" t="s">
        <v>74</v>
      </c>
      <c r="B32" s="12" t="s">
        <v>84</v>
      </c>
      <c r="C32" s="12" t="s">
        <v>44</v>
      </c>
      <c r="D32" s="12"/>
      <c r="E32" s="12"/>
      <c r="F32" s="12" t="n">
        <v>1500</v>
      </c>
      <c r="G32" s="12" t="s">
        <v>60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5" hidden="false" customHeight="false" outlineLevel="0" collapsed="false">
      <c r="A1" s="9" t="s">
        <v>85</v>
      </c>
      <c r="B1" s="9" t="s">
        <v>15</v>
      </c>
      <c r="C1" s="9" t="s">
        <v>86</v>
      </c>
    </row>
    <row r="2" customFormat="false" ht="23.85" hidden="false" customHeight="false" outlineLevel="0" collapsed="false">
      <c r="A2" s="3" t="s">
        <v>87</v>
      </c>
      <c r="B2" s="3" t="s">
        <v>44</v>
      </c>
      <c r="C2" s="3" t="s">
        <v>88</v>
      </c>
    </row>
    <row r="3" customFormat="false" ht="23.85" hidden="false" customHeight="false" outlineLevel="0" collapsed="false">
      <c r="A3" s="3" t="s">
        <v>89</v>
      </c>
      <c r="B3" s="3" t="s">
        <v>44</v>
      </c>
      <c r="C3" s="3" t="s">
        <v>88</v>
      </c>
    </row>
    <row r="4" customFormat="false" ht="23.85" hidden="false" customHeight="false" outlineLevel="0" collapsed="false">
      <c r="A4" s="3" t="s">
        <v>90</v>
      </c>
      <c r="B4" s="3" t="s">
        <v>44</v>
      </c>
      <c r="C4" s="3" t="s">
        <v>88</v>
      </c>
    </row>
    <row r="5" customFormat="false" ht="23.85" hidden="false" customHeight="false" outlineLevel="0" collapsed="false">
      <c r="A5" s="3" t="s">
        <v>91</v>
      </c>
      <c r="B5" s="3" t="s">
        <v>44</v>
      </c>
      <c r="C5" s="3" t="s">
        <v>88</v>
      </c>
    </row>
    <row r="6" customFormat="false" ht="23.85" hidden="false" customHeight="false" outlineLevel="0" collapsed="false">
      <c r="A6" s="3" t="s">
        <v>92</v>
      </c>
      <c r="B6" s="3" t="s">
        <v>44</v>
      </c>
      <c r="C6" s="3" t="s">
        <v>88</v>
      </c>
    </row>
    <row r="7" customFormat="false" ht="23.85" hidden="false" customHeight="false" outlineLevel="0" collapsed="false">
      <c r="A7" s="3" t="s">
        <v>93</v>
      </c>
      <c r="B7" s="3" t="s">
        <v>44</v>
      </c>
      <c r="C7" s="3" t="s">
        <v>88</v>
      </c>
    </row>
    <row r="8" customFormat="false" ht="23.85" hidden="false" customHeight="false" outlineLevel="0" collapsed="false">
      <c r="A8" s="3" t="s">
        <v>94</v>
      </c>
      <c r="B8" s="3" t="s">
        <v>44</v>
      </c>
      <c r="C8" s="3" t="s">
        <v>88</v>
      </c>
    </row>
    <row r="9" customFormat="false" ht="23.85" hidden="false" customHeight="false" outlineLevel="0" collapsed="false">
      <c r="A9" s="3" t="s">
        <v>95</v>
      </c>
      <c r="B9" s="3" t="s">
        <v>44</v>
      </c>
      <c r="C9" s="3" t="s">
        <v>88</v>
      </c>
    </row>
    <row r="10" customFormat="false" ht="23.85" hidden="false" customHeight="false" outlineLevel="0" collapsed="false">
      <c r="A10" s="3" t="s">
        <v>96</v>
      </c>
      <c r="B10" s="3" t="s">
        <v>44</v>
      </c>
      <c r="C10" s="3" t="s">
        <v>88</v>
      </c>
    </row>
    <row r="11" customFormat="false" ht="23.85" hidden="false" customHeight="false" outlineLevel="0" collapsed="false">
      <c r="A11" s="3" t="s">
        <v>97</v>
      </c>
      <c r="B11" s="3" t="s">
        <v>44</v>
      </c>
      <c r="C11" s="3" t="s">
        <v>88</v>
      </c>
    </row>
    <row r="12" customFormat="false" ht="23.85" hidden="false" customHeight="false" outlineLevel="0" collapsed="false">
      <c r="A12" s="3" t="s">
        <v>98</v>
      </c>
      <c r="B12" s="3" t="s">
        <v>44</v>
      </c>
      <c r="C12" s="3" t="s">
        <v>88</v>
      </c>
    </row>
    <row r="13" customFormat="false" ht="23.85" hidden="false" customHeight="false" outlineLevel="0" collapsed="false">
      <c r="A13" s="3" t="s">
        <v>99</v>
      </c>
      <c r="B13" s="3" t="s">
        <v>44</v>
      </c>
      <c r="C13" s="3" t="s">
        <v>88</v>
      </c>
    </row>
    <row r="14" customFormat="false" ht="23.85" hidden="false" customHeight="false" outlineLevel="0" collapsed="false">
      <c r="A14" s="3" t="s">
        <v>100</v>
      </c>
      <c r="B14" s="3" t="s">
        <v>44</v>
      </c>
      <c r="C14" s="3" t="s">
        <v>88</v>
      </c>
    </row>
    <row r="15" customFormat="false" ht="23.85" hidden="false" customHeight="false" outlineLevel="0" collapsed="false">
      <c r="A15" s="3" t="s">
        <v>101</v>
      </c>
      <c r="B15" s="3" t="s">
        <v>44</v>
      </c>
      <c r="C15" s="3" t="s">
        <v>88</v>
      </c>
    </row>
    <row r="16" customFormat="false" ht="23.85" hidden="false" customHeight="false" outlineLevel="0" collapsed="false">
      <c r="A16" s="3" t="s">
        <v>102</v>
      </c>
      <c r="B16" s="3" t="s">
        <v>44</v>
      </c>
      <c r="C16" s="3" t="s">
        <v>88</v>
      </c>
    </row>
    <row r="17" customFormat="false" ht="23.85" hidden="false" customHeight="false" outlineLevel="0" collapsed="false">
      <c r="A17" s="3" t="s">
        <v>103</v>
      </c>
      <c r="B17" s="3" t="s">
        <v>44</v>
      </c>
      <c r="C17" s="3" t="s">
        <v>88</v>
      </c>
    </row>
    <row r="18" customFormat="false" ht="23.85" hidden="false" customHeight="false" outlineLevel="0" collapsed="false">
      <c r="A18" s="3" t="s">
        <v>104</v>
      </c>
      <c r="B18" s="3" t="s">
        <v>44</v>
      </c>
      <c r="C18" s="3" t="s">
        <v>88</v>
      </c>
    </row>
    <row r="19" customFormat="false" ht="23.85" hidden="false" customHeight="false" outlineLevel="0" collapsed="false">
      <c r="A19" s="3" t="s">
        <v>105</v>
      </c>
      <c r="B19" s="3" t="s">
        <v>44</v>
      </c>
      <c r="C19" s="3" t="s">
        <v>88</v>
      </c>
    </row>
    <row r="20" customFormat="false" ht="23.85" hidden="false" customHeight="false" outlineLevel="0" collapsed="false">
      <c r="A20" s="3" t="s">
        <v>106</v>
      </c>
      <c r="B20" s="3" t="s">
        <v>44</v>
      </c>
      <c r="C20" s="3" t="s">
        <v>88</v>
      </c>
    </row>
    <row r="21" customFormat="false" ht="23.85" hidden="false" customHeight="false" outlineLevel="0" collapsed="false">
      <c r="A21" s="3" t="s">
        <v>107</v>
      </c>
      <c r="B21" s="3" t="s">
        <v>44</v>
      </c>
      <c r="C21" s="3" t="s">
        <v>88</v>
      </c>
    </row>
    <row r="22" customFormat="false" ht="23.85" hidden="false" customHeight="false" outlineLevel="0" collapsed="false">
      <c r="A22" s="3" t="s">
        <v>108</v>
      </c>
      <c r="B22" s="3" t="s">
        <v>44</v>
      </c>
      <c r="C22" s="3" t="s">
        <v>88</v>
      </c>
    </row>
    <row r="23" customFormat="false" ht="23.85" hidden="false" customHeight="false" outlineLevel="0" collapsed="false">
      <c r="A23" s="3" t="s">
        <v>109</v>
      </c>
      <c r="B23" s="3" t="s">
        <v>44</v>
      </c>
      <c r="C23" s="3" t="s">
        <v>88</v>
      </c>
    </row>
    <row r="24" customFormat="false" ht="23.85" hidden="false" customHeight="false" outlineLevel="0" collapsed="false">
      <c r="A24" s="3" t="s">
        <v>110</v>
      </c>
      <c r="B24" s="3" t="s">
        <v>44</v>
      </c>
      <c r="C24" s="3" t="s">
        <v>88</v>
      </c>
    </row>
    <row r="25" customFormat="false" ht="15" hidden="false" customHeight="false" outlineLevel="0" collapsed="false">
      <c r="A25" s="3" t="s">
        <v>111</v>
      </c>
      <c r="B25" s="3" t="s">
        <v>44</v>
      </c>
      <c r="C25" s="3" t="s">
        <v>112</v>
      </c>
    </row>
    <row r="26" customFormat="false" ht="15" hidden="false" customHeight="false" outlineLevel="0" collapsed="false">
      <c r="A26" s="3" t="s">
        <v>113</v>
      </c>
      <c r="B26" s="3" t="s">
        <v>44</v>
      </c>
      <c r="C26" s="3" t="s">
        <v>112</v>
      </c>
    </row>
    <row r="27" customFormat="false" ht="15" hidden="false" customHeight="false" outlineLevel="0" collapsed="false">
      <c r="A27" s="3" t="s">
        <v>114</v>
      </c>
      <c r="B27" s="3" t="s">
        <v>44</v>
      </c>
      <c r="C27" s="3" t="s">
        <v>112</v>
      </c>
    </row>
    <row r="28" customFormat="false" ht="15" hidden="false" customHeight="false" outlineLevel="0" collapsed="false">
      <c r="A28" s="3" t="s">
        <v>115</v>
      </c>
      <c r="B28" s="3" t="s">
        <v>44</v>
      </c>
      <c r="C28" s="3" t="s">
        <v>112</v>
      </c>
    </row>
    <row r="29" customFormat="false" ht="15" hidden="false" customHeight="false" outlineLevel="0" collapsed="false">
      <c r="A29" s="3" t="s">
        <v>116</v>
      </c>
      <c r="B29" s="3" t="s">
        <v>44</v>
      </c>
      <c r="C29" s="3" t="s">
        <v>112</v>
      </c>
    </row>
    <row r="30" customFormat="false" ht="15" hidden="false" customHeight="false" outlineLevel="0" collapsed="false">
      <c r="A30" s="3" t="s">
        <v>117</v>
      </c>
      <c r="B30" s="3" t="s">
        <v>44</v>
      </c>
      <c r="C30" s="3" t="s">
        <v>112</v>
      </c>
    </row>
    <row r="31" customFormat="false" ht="15" hidden="false" customHeight="false" outlineLevel="0" collapsed="false">
      <c r="A31" s="3" t="s">
        <v>118</v>
      </c>
      <c r="B31" s="3" t="s">
        <v>44</v>
      </c>
      <c r="C31" s="3" t="s">
        <v>112</v>
      </c>
    </row>
    <row r="32" customFormat="false" ht="15" hidden="false" customHeight="false" outlineLevel="0" collapsed="false">
      <c r="A32" s="3" t="s">
        <v>119</v>
      </c>
      <c r="B32" s="3" t="s">
        <v>44</v>
      </c>
      <c r="C32" s="3" t="s">
        <v>112</v>
      </c>
    </row>
    <row r="33" customFormat="false" ht="15" hidden="false" customHeight="false" outlineLevel="0" collapsed="false">
      <c r="A33" s="3" t="s">
        <v>120</v>
      </c>
      <c r="B33" s="3" t="s">
        <v>44</v>
      </c>
      <c r="C33" s="3" t="s">
        <v>112</v>
      </c>
    </row>
    <row r="34" customFormat="false" ht="15" hidden="false" customHeight="false" outlineLevel="0" collapsed="false">
      <c r="A34" s="3" t="s">
        <v>121</v>
      </c>
      <c r="B34" s="3" t="s">
        <v>44</v>
      </c>
      <c r="C34" s="3" t="s">
        <v>112</v>
      </c>
    </row>
    <row r="35" customFormat="false" ht="15" hidden="false" customHeight="false" outlineLevel="0" collapsed="false">
      <c r="A35" s="3" t="s">
        <v>122</v>
      </c>
      <c r="B35" s="3" t="s">
        <v>44</v>
      </c>
      <c r="C35" s="3" t="s">
        <v>112</v>
      </c>
    </row>
    <row r="36" customFormat="false" ht="15" hidden="false" customHeight="false" outlineLevel="0" collapsed="false">
      <c r="A36" s="3" t="s">
        <v>123</v>
      </c>
      <c r="B36" s="3" t="s">
        <v>44</v>
      </c>
      <c r="C36" s="3" t="s">
        <v>112</v>
      </c>
    </row>
    <row r="37" customFormat="false" ht="15" hidden="false" customHeight="false" outlineLevel="0" collapsed="false">
      <c r="A37" s="3" t="s">
        <v>124</v>
      </c>
      <c r="B37" s="3" t="s">
        <v>44</v>
      </c>
      <c r="C37" s="3" t="s">
        <v>112</v>
      </c>
    </row>
    <row r="38" customFormat="false" ht="15" hidden="false" customHeight="false" outlineLevel="0" collapsed="false">
      <c r="A38" s="3" t="s">
        <v>125</v>
      </c>
      <c r="B38" s="3" t="s">
        <v>44</v>
      </c>
      <c r="C38" s="3" t="s">
        <v>112</v>
      </c>
    </row>
    <row r="39" customFormat="false" ht="15" hidden="false" customHeight="false" outlineLevel="0" collapsed="false">
      <c r="A39" s="3" t="s">
        <v>126</v>
      </c>
      <c r="B39" s="3" t="s">
        <v>44</v>
      </c>
      <c r="C39" s="3" t="s">
        <v>112</v>
      </c>
    </row>
    <row r="40" customFormat="false" ht="15" hidden="false" customHeight="false" outlineLevel="0" collapsed="false">
      <c r="A40" s="3" t="s">
        <v>127</v>
      </c>
      <c r="B40" s="3" t="s">
        <v>44</v>
      </c>
      <c r="C40" s="3" t="s">
        <v>112</v>
      </c>
    </row>
    <row r="41" customFormat="false" ht="15" hidden="false" customHeight="false" outlineLevel="0" collapsed="false">
      <c r="A41" s="3" t="s">
        <v>128</v>
      </c>
      <c r="B41" s="3" t="s">
        <v>44</v>
      </c>
      <c r="C41" s="3" t="s">
        <v>112</v>
      </c>
    </row>
    <row r="42" customFormat="false" ht="15" hidden="false" customHeight="false" outlineLevel="0" collapsed="false">
      <c r="A42" s="3" t="s">
        <v>129</v>
      </c>
      <c r="B42" s="3" t="s">
        <v>44</v>
      </c>
      <c r="C42" s="3" t="s">
        <v>112</v>
      </c>
    </row>
    <row r="43" customFormat="false" ht="15" hidden="false" customHeight="false" outlineLevel="0" collapsed="false">
      <c r="A43" s="3" t="s">
        <v>130</v>
      </c>
      <c r="B43" s="3" t="s">
        <v>44</v>
      </c>
      <c r="C43" s="3" t="s">
        <v>112</v>
      </c>
    </row>
    <row r="44" customFormat="false" ht="15" hidden="false" customHeight="false" outlineLevel="0" collapsed="false">
      <c r="A44" s="3" t="s">
        <v>131</v>
      </c>
      <c r="B44" s="3" t="s">
        <v>44</v>
      </c>
      <c r="C44" s="3" t="s">
        <v>132</v>
      </c>
    </row>
    <row r="45" customFormat="false" ht="15" hidden="false" customHeight="false" outlineLevel="0" collapsed="false">
      <c r="A45" s="3" t="s">
        <v>133</v>
      </c>
      <c r="B45" s="3" t="s">
        <v>44</v>
      </c>
      <c r="C45" s="3" t="s">
        <v>132</v>
      </c>
    </row>
    <row r="46" customFormat="false" ht="15" hidden="false" customHeight="false" outlineLevel="0" collapsed="false">
      <c r="A46" s="3" t="s">
        <v>134</v>
      </c>
      <c r="B46" s="3" t="s">
        <v>44</v>
      </c>
      <c r="C46" s="3" t="s">
        <v>132</v>
      </c>
    </row>
    <row r="47" customFormat="false" ht="15" hidden="false" customHeight="false" outlineLevel="0" collapsed="false">
      <c r="A47" s="3" t="s">
        <v>135</v>
      </c>
      <c r="B47" s="3" t="s">
        <v>44</v>
      </c>
      <c r="C47" s="3" t="s">
        <v>132</v>
      </c>
    </row>
    <row r="48" customFormat="false" ht="15" hidden="false" customHeight="false" outlineLevel="0" collapsed="false">
      <c r="A48" s="3" t="s">
        <v>136</v>
      </c>
      <c r="B48" s="3" t="s">
        <v>44</v>
      </c>
      <c r="C48" s="3" t="s">
        <v>132</v>
      </c>
    </row>
    <row r="49" customFormat="false" ht="15" hidden="false" customHeight="false" outlineLevel="0" collapsed="false">
      <c r="A49" s="3" t="s">
        <v>137</v>
      </c>
      <c r="B49" s="3" t="s">
        <v>44</v>
      </c>
      <c r="C49" s="3" t="s">
        <v>132</v>
      </c>
    </row>
    <row r="50" customFormat="false" ht="15" hidden="false" customHeight="false" outlineLevel="0" collapsed="false">
      <c r="A50" s="3" t="s">
        <v>138</v>
      </c>
      <c r="B50" s="3" t="s">
        <v>44</v>
      </c>
      <c r="C50" s="3" t="s">
        <v>132</v>
      </c>
    </row>
    <row r="51" customFormat="false" ht="15" hidden="false" customHeight="false" outlineLevel="0" collapsed="false">
      <c r="A51" s="3" t="s">
        <v>139</v>
      </c>
      <c r="B51" s="3" t="s">
        <v>44</v>
      </c>
      <c r="C51" s="3" t="s">
        <v>132</v>
      </c>
    </row>
    <row r="52" customFormat="false" ht="15" hidden="false" customHeight="false" outlineLevel="0" collapsed="false">
      <c r="A52" s="3" t="s">
        <v>140</v>
      </c>
      <c r="B52" s="3" t="s">
        <v>44</v>
      </c>
      <c r="C52" s="3" t="s">
        <v>132</v>
      </c>
    </row>
    <row r="53" customFormat="false" ht="15" hidden="false" customHeight="false" outlineLevel="0" collapsed="false">
      <c r="A53" s="3" t="s">
        <v>141</v>
      </c>
      <c r="B53" s="3" t="s">
        <v>44</v>
      </c>
      <c r="C53" s="3" t="s">
        <v>132</v>
      </c>
    </row>
    <row r="54" customFormat="false" ht="15" hidden="false" customHeight="false" outlineLevel="0" collapsed="false">
      <c r="A54" s="3" t="s">
        <v>142</v>
      </c>
      <c r="B54" s="3" t="s">
        <v>44</v>
      </c>
      <c r="C54" s="3" t="s">
        <v>132</v>
      </c>
    </row>
    <row r="55" customFormat="false" ht="15" hidden="false" customHeight="false" outlineLevel="0" collapsed="false">
      <c r="A55" s="3" t="s">
        <v>143</v>
      </c>
      <c r="B55" s="3" t="s">
        <v>44</v>
      </c>
      <c r="C55" s="3" t="s">
        <v>132</v>
      </c>
    </row>
    <row r="56" customFormat="false" ht="15" hidden="false" customHeight="false" outlineLevel="0" collapsed="false">
      <c r="A56" s="3" t="s">
        <v>144</v>
      </c>
      <c r="B56" s="3" t="s">
        <v>44</v>
      </c>
      <c r="C56" s="3" t="s">
        <v>132</v>
      </c>
    </row>
    <row r="57" customFormat="false" ht="15" hidden="false" customHeight="false" outlineLevel="0" collapsed="false">
      <c r="A57" s="3" t="s">
        <v>145</v>
      </c>
      <c r="B57" s="3" t="s">
        <v>44</v>
      </c>
      <c r="C57" s="3" t="s">
        <v>132</v>
      </c>
    </row>
    <row r="58" customFormat="false" ht="15" hidden="false" customHeight="false" outlineLevel="0" collapsed="false">
      <c r="A58" s="3" t="s">
        <v>146</v>
      </c>
      <c r="B58" s="3" t="s">
        <v>44</v>
      </c>
      <c r="C58" s="3" t="s">
        <v>132</v>
      </c>
    </row>
    <row r="59" customFormat="false" ht="15" hidden="false" customHeight="false" outlineLevel="0" collapsed="false">
      <c r="A59" s="3" t="s">
        <v>147</v>
      </c>
      <c r="B59" s="3" t="s">
        <v>44</v>
      </c>
      <c r="C59" s="3" t="s">
        <v>132</v>
      </c>
    </row>
    <row r="60" customFormat="false" ht="15" hidden="false" customHeight="false" outlineLevel="0" collapsed="false">
      <c r="A60" s="12" t="s">
        <v>148</v>
      </c>
      <c r="B60" s="12" t="s">
        <v>44</v>
      </c>
      <c r="C60" s="12" t="s">
        <v>149</v>
      </c>
    </row>
    <row r="61" customFormat="false" ht="15" hidden="false" customHeight="false" outlineLevel="0" collapsed="false">
      <c r="A61" s="12" t="s">
        <v>150</v>
      </c>
      <c r="B61" s="12" t="s">
        <v>44</v>
      </c>
      <c r="C61" s="12" t="s">
        <v>149</v>
      </c>
    </row>
    <row r="62" customFormat="false" ht="15" hidden="false" customHeight="false" outlineLevel="0" collapsed="false">
      <c r="A62" s="12" t="s">
        <v>151</v>
      </c>
      <c r="B62" s="12" t="s">
        <v>44</v>
      </c>
      <c r="C62" s="12" t="s">
        <v>149</v>
      </c>
    </row>
    <row r="63" customFormat="false" ht="15" hidden="false" customHeight="false" outlineLevel="0" collapsed="false">
      <c r="A63" s="12" t="s">
        <v>152</v>
      </c>
      <c r="B63" s="12" t="s">
        <v>44</v>
      </c>
      <c r="C63" s="12" t="s">
        <v>149</v>
      </c>
    </row>
    <row r="64" customFormat="false" ht="15" hidden="false" customHeight="false" outlineLevel="0" collapsed="false">
      <c r="A64" s="12" t="s">
        <v>153</v>
      </c>
      <c r="B64" s="12" t="s">
        <v>44</v>
      </c>
      <c r="C64" s="12" t="s">
        <v>149</v>
      </c>
    </row>
    <row r="65" customFormat="false" ht="15" hidden="false" customHeight="false" outlineLevel="0" collapsed="false">
      <c r="A65" s="12" t="s">
        <v>154</v>
      </c>
      <c r="B65" s="12" t="s">
        <v>44</v>
      </c>
      <c r="C65" s="12" t="s">
        <v>149</v>
      </c>
    </row>
    <row r="66" customFormat="false" ht="15" hidden="false" customHeight="false" outlineLevel="0" collapsed="false">
      <c r="A66" s="12" t="s">
        <v>155</v>
      </c>
      <c r="B66" s="12" t="s">
        <v>44</v>
      </c>
      <c r="C66" s="12" t="s">
        <v>149</v>
      </c>
    </row>
    <row r="67" customFormat="false" ht="15" hidden="false" customHeight="false" outlineLevel="0" collapsed="false">
      <c r="A67" s="12" t="s">
        <v>156</v>
      </c>
      <c r="B67" s="12" t="s">
        <v>44</v>
      </c>
      <c r="C67" s="12" t="s">
        <v>149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64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9" t="s">
        <v>157</v>
      </c>
      <c r="B1" s="9" t="s">
        <v>158</v>
      </c>
      <c r="C1" s="9" t="s">
        <v>159</v>
      </c>
      <c r="D1" s="9" t="s">
        <v>160</v>
      </c>
      <c r="E1" s="9" t="s">
        <v>161</v>
      </c>
      <c r="F1" s="9" t="s">
        <v>162</v>
      </c>
    </row>
    <row r="2" customFormat="false" ht="15" hidden="false" customHeight="false" outlineLevel="0" collapsed="false">
      <c r="A2" s="3" t="s">
        <v>42</v>
      </c>
      <c r="B2" s="3" t="s">
        <v>163</v>
      </c>
      <c r="C2" s="3" t="n">
        <v>1</v>
      </c>
      <c r="D2" s="3" t="s">
        <v>164</v>
      </c>
      <c r="E2" s="3" t="n">
        <v>24</v>
      </c>
      <c r="F2" s="3" t="n">
        <v>30</v>
      </c>
    </row>
    <row r="3" customFormat="false" ht="15" hidden="false" customHeight="false" outlineLevel="0" collapsed="false">
      <c r="A3" s="3" t="s">
        <v>42</v>
      </c>
      <c r="B3" s="3" t="s">
        <v>163</v>
      </c>
      <c r="C3" s="3" t="n">
        <v>2</v>
      </c>
      <c r="D3" s="3" t="s">
        <v>165</v>
      </c>
      <c r="E3" s="3" t="n">
        <v>27</v>
      </c>
      <c r="F3" s="3" t="n">
        <v>30</v>
      </c>
    </row>
    <row r="4" customFormat="false" ht="15" hidden="false" customHeight="false" outlineLevel="0" collapsed="false">
      <c r="A4" s="3" t="s">
        <v>42</v>
      </c>
      <c r="B4" s="3" t="s">
        <v>163</v>
      </c>
      <c r="C4" s="3" t="n">
        <v>3</v>
      </c>
      <c r="D4" s="3" t="s">
        <v>166</v>
      </c>
      <c r="E4" s="3" t="n">
        <v>26</v>
      </c>
      <c r="F4" s="3" t="n">
        <v>30</v>
      </c>
    </row>
    <row r="5" customFormat="false" ht="15" hidden="false" customHeight="false" outlineLevel="0" collapsed="false">
      <c r="A5" s="3" t="s">
        <v>42</v>
      </c>
      <c r="B5" s="3" t="s">
        <v>163</v>
      </c>
      <c r="C5" s="3" t="n">
        <v>4</v>
      </c>
      <c r="D5" s="3" t="s">
        <v>167</v>
      </c>
      <c r="E5" s="3" t="n">
        <v>24</v>
      </c>
      <c r="F5" s="3" t="n">
        <v>30</v>
      </c>
    </row>
    <row r="6" customFormat="false" ht="15" hidden="false" customHeight="false" outlineLevel="0" collapsed="false">
      <c r="A6" s="3" t="s">
        <v>42</v>
      </c>
      <c r="B6" s="3" t="s">
        <v>163</v>
      </c>
      <c r="C6" s="3" t="n">
        <v>5</v>
      </c>
      <c r="D6" s="3" t="s">
        <v>168</v>
      </c>
      <c r="E6" s="3" t="n">
        <v>24</v>
      </c>
      <c r="F6" s="3" t="n">
        <v>30</v>
      </c>
    </row>
    <row r="7" customFormat="false" ht="15" hidden="false" customHeight="false" outlineLevel="0" collapsed="false">
      <c r="A7" s="3" t="s">
        <v>42</v>
      </c>
      <c r="B7" s="3" t="s">
        <v>163</v>
      </c>
      <c r="C7" s="3" t="n">
        <v>6</v>
      </c>
      <c r="D7" s="3" t="s">
        <v>169</v>
      </c>
      <c r="E7" s="3" t="n">
        <v>25</v>
      </c>
      <c r="F7" s="3" t="n">
        <v>30</v>
      </c>
    </row>
    <row r="8" customFormat="false" ht="15" hidden="false" customHeight="false" outlineLevel="0" collapsed="false">
      <c r="A8" s="3" t="s">
        <v>42</v>
      </c>
      <c r="B8" s="3" t="s">
        <v>163</v>
      </c>
      <c r="C8" s="3" t="n">
        <v>7</v>
      </c>
      <c r="D8" s="3" t="s">
        <v>170</v>
      </c>
      <c r="E8" s="3" t="n">
        <v>26</v>
      </c>
      <c r="F8" s="3" t="n">
        <v>30</v>
      </c>
    </row>
    <row r="9" customFormat="false" ht="15" hidden="false" customHeight="false" outlineLevel="0" collapsed="false">
      <c r="A9" s="3" t="s">
        <v>42</v>
      </c>
      <c r="B9" s="3" t="s">
        <v>163</v>
      </c>
      <c r="C9" s="3" t="n">
        <v>8</v>
      </c>
      <c r="D9" s="3" t="s">
        <v>171</v>
      </c>
      <c r="E9" s="3" t="n">
        <v>24</v>
      </c>
      <c r="F9" s="3" t="n">
        <v>30</v>
      </c>
    </row>
    <row r="10" customFormat="false" ht="15" hidden="false" customHeight="false" outlineLevel="0" collapsed="false">
      <c r="A10" s="3" t="s">
        <v>42</v>
      </c>
      <c r="B10" s="3" t="s">
        <v>163</v>
      </c>
      <c r="C10" s="3" t="n">
        <v>9</v>
      </c>
      <c r="D10" s="3" t="s">
        <v>172</v>
      </c>
      <c r="E10" s="3" t="n">
        <v>24</v>
      </c>
      <c r="F10" s="3" t="n">
        <v>30</v>
      </c>
    </row>
    <row r="11" customFormat="false" ht="15" hidden="false" customHeight="false" outlineLevel="0" collapsed="false">
      <c r="A11" s="3" t="s">
        <v>42</v>
      </c>
      <c r="B11" s="3" t="s">
        <v>163</v>
      </c>
      <c r="C11" s="3" t="n">
        <v>10</v>
      </c>
      <c r="D11" s="3" t="s">
        <v>173</v>
      </c>
      <c r="E11" s="3" t="n">
        <v>26</v>
      </c>
      <c r="F11" s="3" t="n">
        <v>30</v>
      </c>
    </row>
    <row r="12" customFormat="false" ht="15" hidden="false" customHeight="false" outlineLevel="0" collapsed="false">
      <c r="A12" s="3" t="s">
        <v>42</v>
      </c>
      <c r="B12" s="3" t="s">
        <v>163</v>
      </c>
      <c r="C12" s="3" t="n">
        <v>11</v>
      </c>
      <c r="D12" s="3" t="s">
        <v>174</v>
      </c>
      <c r="E12" s="3" t="n">
        <v>27</v>
      </c>
      <c r="F12" s="3" t="n">
        <v>30</v>
      </c>
    </row>
    <row r="13" customFormat="false" ht="15" hidden="false" customHeight="false" outlineLevel="0" collapsed="false">
      <c r="A13" s="3" t="s">
        <v>42</v>
      </c>
      <c r="B13" s="3" t="s">
        <v>163</v>
      </c>
      <c r="C13" s="3" t="n">
        <v>12</v>
      </c>
      <c r="D13" s="3" t="s">
        <v>175</v>
      </c>
      <c r="E13" s="3" t="n">
        <v>24</v>
      </c>
      <c r="F13" s="3" t="n">
        <v>30</v>
      </c>
    </row>
    <row r="14" customFormat="false" ht="23.85" hidden="false" customHeight="false" outlineLevel="0" collapsed="false">
      <c r="A14" s="3" t="s">
        <v>42</v>
      </c>
      <c r="B14" s="3" t="s">
        <v>176</v>
      </c>
      <c r="C14" s="3" t="n">
        <v>1</v>
      </c>
      <c r="D14" s="3" t="s">
        <v>177</v>
      </c>
      <c r="E14" s="3" t="n">
        <v>87</v>
      </c>
      <c r="F14" s="3" t="n">
        <v>90</v>
      </c>
    </row>
    <row r="15" customFormat="false" ht="15" hidden="false" customHeight="false" outlineLevel="0" collapsed="false">
      <c r="A15" s="3" t="s">
        <v>42</v>
      </c>
      <c r="B15" s="3" t="s">
        <v>176</v>
      </c>
      <c r="C15" s="3" t="n">
        <v>2</v>
      </c>
      <c r="D15" s="3" t="s">
        <v>178</v>
      </c>
      <c r="E15" s="3" t="n">
        <v>80</v>
      </c>
      <c r="F15" s="3" t="n">
        <v>90</v>
      </c>
    </row>
    <row r="16" customFormat="false" ht="23.85" hidden="false" customHeight="false" outlineLevel="0" collapsed="false">
      <c r="A16" s="3" t="s">
        <v>42</v>
      </c>
      <c r="B16" s="3" t="s">
        <v>176</v>
      </c>
      <c r="C16" s="3" t="n">
        <v>3</v>
      </c>
      <c r="D16" s="3" t="s">
        <v>179</v>
      </c>
      <c r="E16" s="3" t="n">
        <v>88</v>
      </c>
      <c r="F16" s="3" t="n">
        <v>90</v>
      </c>
    </row>
    <row r="17" customFormat="false" ht="15" hidden="false" customHeight="false" outlineLevel="0" collapsed="false">
      <c r="A17" s="3" t="s">
        <v>42</v>
      </c>
      <c r="B17" s="3" t="s">
        <v>176</v>
      </c>
      <c r="C17" s="3" t="n">
        <v>4</v>
      </c>
      <c r="D17" s="3" t="s">
        <v>180</v>
      </c>
      <c r="E17" s="3" t="n">
        <v>73</v>
      </c>
      <c r="F17" s="3" t="n">
        <v>90</v>
      </c>
    </row>
    <row r="18" customFormat="false" ht="15" hidden="false" customHeight="false" outlineLevel="0" collapsed="false">
      <c r="A18" s="3" t="s">
        <v>42</v>
      </c>
      <c r="B18" s="3" t="s">
        <v>181</v>
      </c>
      <c r="C18" s="3" t="n">
        <v>1</v>
      </c>
      <c r="D18" s="3" t="s">
        <v>182</v>
      </c>
      <c r="E18" s="3" t="n">
        <v>10</v>
      </c>
      <c r="F18" s="3" t="n">
        <v>15</v>
      </c>
    </row>
    <row r="19" customFormat="false" ht="15" hidden="false" customHeight="false" outlineLevel="0" collapsed="false">
      <c r="A19" s="3" t="s">
        <v>42</v>
      </c>
      <c r="B19" s="3" t="s">
        <v>181</v>
      </c>
      <c r="C19" s="3" t="n">
        <v>2</v>
      </c>
      <c r="D19" s="3" t="s">
        <v>183</v>
      </c>
      <c r="E19" s="3" t="n">
        <v>3</v>
      </c>
      <c r="F19" s="3" t="n">
        <v>15</v>
      </c>
    </row>
    <row r="20" customFormat="false" ht="15" hidden="false" customHeight="false" outlineLevel="0" collapsed="false">
      <c r="A20" s="3" t="s">
        <v>58</v>
      </c>
      <c r="B20" s="3" t="s">
        <v>163</v>
      </c>
      <c r="C20" s="3" t="n">
        <v>1</v>
      </c>
      <c r="D20" s="3" t="s">
        <v>58</v>
      </c>
      <c r="E20" s="3" t="n">
        <v>19</v>
      </c>
      <c r="F20" s="3" t="n">
        <v>30</v>
      </c>
    </row>
    <row r="21" customFormat="false" ht="15" hidden="false" customHeight="false" outlineLevel="0" collapsed="false">
      <c r="A21" s="3" t="s">
        <v>58</v>
      </c>
      <c r="B21" s="3" t="s">
        <v>163</v>
      </c>
      <c r="C21" s="3" t="n">
        <v>2</v>
      </c>
      <c r="D21" s="3" t="s">
        <v>184</v>
      </c>
      <c r="E21" s="3" t="n">
        <v>24</v>
      </c>
      <c r="F21" s="3" t="n">
        <v>30</v>
      </c>
    </row>
    <row r="22" customFormat="false" ht="15" hidden="false" customHeight="false" outlineLevel="0" collapsed="false">
      <c r="A22" s="3" t="s">
        <v>58</v>
      </c>
      <c r="B22" s="3" t="s">
        <v>163</v>
      </c>
      <c r="C22" s="3" t="n">
        <v>3</v>
      </c>
      <c r="D22" s="3" t="s">
        <v>185</v>
      </c>
      <c r="E22" s="3" t="n">
        <v>23</v>
      </c>
      <c r="F22" s="3" t="n">
        <v>30</v>
      </c>
    </row>
    <row r="23" customFormat="false" ht="15" hidden="false" customHeight="false" outlineLevel="0" collapsed="false">
      <c r="A23" s="3" t="s">
        <v>58</v>
      </c>
      <c r="B23" s="3" t="s">
        <v>163</v>
      </c>
      <c r="C23" s="3" t="n">
        <v>4</v>
      </c>
      <c r="D23" s="3" t="s">
        <v>186</v>
      </c>
      <c r="E23" s="3" t="n">
        <v>24</v>
      </c>
      <c r="F23" s="3" t="n">
        <v>30</v>
      </c>
    </row>
    <row r="24" customFormat="false" ht="15" hidden="false" customHeight="false" outlineLevel="0" collapsed="false">
      <c r="A24" s="3" t="s">
        <v>58</v>
      </c>
      <c r="B24" s="3" t="s">
        <v>163</v>
      </c>
      <c r="C24" s="3" t="n">
        <v>5</v>
      </c>
      <c r="D24" s="3" t="s">
        <v>187</v>
      </c>
      <c r="E24" s="3" t="n">
        <v>21</v>
      </c>
      <c r="F24" s="3" t="n">
        <v>30</v>
      </c>
    </row>
    <row r="25" customFormat="false" ht="15" hidden="false" customHeight="false" outlineLevel="0" collapsed="false">
      <c r="A25" s="3" t="s">
        <v>58</v>
      </c>
      <c r="B25" s="3" t="s">
        <v>163</v>
      </c>
      <c r="C25" s="3" t="n">
        <v>6</v>
      </c>
      <c r="D25" s="3" t="s">
        <v>188</v>
      </c>
      <c r="E25" s="3" t="n">
        <v>24</v>
      </c>
      <c r="F25" s="3" t="n">
        <v>30</v>
      </c>
    </row>
    <row r="26" customFormat="false" ht="15" hidden="false" customHeight="false" outlineLevel="0" collapsed="false">
      <c r="A26" s="3" t="s">
        <v>58</v>
      </c>
      <c r="B26" s="3" t="s">
        <v>163</v>
      </c>
      <c r="C26" s="3" t="n">
        <v>7</v>
      </c>
      <c r="D26" s="3" t="s">
        <v>189</v>
      </c>
      <c r="E26" s="3" t="n">
        <v>26</v>
      </c>
      <c r="F26" s="3" t="n">
        <v>30</v>
      </c>
    </row>
    <row r="27" customFormat="false" ht="15" hidden="false" customHeight="false" outlineLevel="0" collapsed="false">
      <c r="A27" s="3" t="s">
        <v>58</v>
      </c>
      <c r="B27" s="3" t="s">
        <v>163</v>
      </c>
      <c r="C27" s="3" t="n">
        <v>8</v>
      </c>
      <c r="D27" s="3" t="s">
        <v>171</v>
      </c>
      <c r="E27" s="3" t="n">
        <v>24</v>
      </c>
      <c r="F27" s="3" t="n">
        <v>30</v>
      </c>
    </row>
    <row r="28" customFormat="false" ht="15" hidden="false" customHeight="false" outlineLevel="0" collapsed="false">
      <c r="A28" s="3" t="s">
        <v>58</v>
      </c>
      <c r="B28" s="3" t="s">
        <v>163</v>
      </c>
      <c r="C28" s="3" t="n">
        <v>9</v>
      </c>
      <c r="D28" s="3" t="s">
        <v>172</v>
      </c>
      <c r="E28" s="3" t="n">
        <v>24</v>
      </c>
      <c r="F28" s="3" t="n">
        <v>30</v>
      </c>
    </row>
    <row r="29" customFormat="false" ht="15" hidden="false" customHeight="false" outlineLevel="0" collapsed="false">
      <c r="A29" s="3" t="s">
        <v>58</v>
      </c>
      <c r="B29" s="3" t="s">
        <v>163</v>
      </c>
      <c r="C29" s="3" t="n">
        <v>10</v>
      </c>
      <c r="D29" s="3" t="s">
        <v>174</v>
      </c>
      <c r="E29" s="3" t="n">
        <v>27</v>
      </c>
      <c r="F29" s="3" t="n">
        <v>30</v>
      </c>
    </row>
    <row r="30" customFormat="false" ht="15" hidden="false" customHeight="false" outlineLevel="0" collapsed="false">
      <c r="A30" s="3" t="s">
        <v>58</v>
      </c>
      <c r="B30" s="3" t="s">
        <v>163</v>
      </c>
      <c r="C30" s="3" t="n">
        <v>11</v>
      </c>
      <c r="D30" s="3" t="s">
        <v>190</v>
      </c>
      <c r="E30" s="3" t="n">
        <v>23</v>
      </c>
      <c r="F30" s="3" t="n">
        <v>30</v>
      </c>
    </row>
    <row r="31" customFormat="false" ht="15" hidden="false" customHeight="false" outlineLevel="0" collapsed="false">
      <c r="A31" s="3" t="s">
        <v>58</v>
      </c>
      <c r="B31" s="3" t="s">
        <v>163</v>
      </c>
      <c r="C31" s="3" t="n">
        <v>12</v>
      </c>
      <c r="D31" s="3" t="s">
        <v>191</v>
      </c>
      <c r="E31" s="3" t="n">
        <v>28</v>
      </c>
      <c r="F31" s="3" t="n">
        <v>30</v>
      </c>
    </row>
    <row r="32" customFormat="false" ht="23.85" hidden="false" customHeight="false" outlineLevel="0" collapsed="false">
      <c r="A32" s="3" t="s">
        <v>58</v>
      </c>
      <c r="B32" s="3" t="s">
        <v>176</v>
      </c>
      <c r="C32" s="3" t="n">
        <v>1</v>
      </c>
      <c r="D32" s="3" t="s">
        <v>192</v>
      </c>
      <c r="E32" s="3" t="n">
        <v>79</v>
      </c>
      <c r="F32" s="3" t="n">
        <v>90</v>
      </c>
    </row>
    <row r="33" customFormat="false" ht="15" hidden="false" customHeight="false" outlineLevel="0" collapsed="false">
      <c r="A33" s="3" t="s">
        <v>58</v>
      </c>
      <c r="B33" s="3" t="s">
        <v>176</v>
      </c>
      <c r="C33" s="3" t="n">
        <v>2</v>
      </c>
      <c r="D33" s="3" t="s">
        <v>193</v>
      </c>
      <c r="E33" s="3" t="n">
        <v>75</v>
      </c>
      <c r="F33" s="3" t="n">
        <v>90</v>
      </c>
    </row>
    <row r="34" customFormat="false" ht="23.85" hidden="false" customHeight="false" outlineLevel="0" collapsed="false">
      <c r="A34" s="3" t="s">
        <v>58</v>
      </c>
      <c r="B34" s="3" t="s">
        <v>176</v>
      </c>
      <c r="C34" s="3" t="n">
        <v>3</v>
      </c>
      <c r="D34" s="3" t="s">
        <v>194</v>
      </c>
      <c r="E34" s="3" t="n">
        <v>80</v>
      </c>
      <c r="F34" s="3" t="n">
        <v>90</v>
      </c>
    </row>
    <row r="35" customFormat="false" ht="15" hidden="false" customHeight="false" outlineLevel="0" collapsed="false">
      <c r="A35" s="3" t="s">
        <v>58</v>
      </c>
      <c r="B35" s="3" t="s">
        <v>176</v>
      </c>
      <c r="C35" s="3" t="n">
        <v>4</v>
      </c>
      <c r="D35" s="3" t="s">
        <v>195</v>
      </c>
      <c r="E35" s="3" t="n">
        <v>67</v>
      </c>
      <c r="F35" s="3" t="n">
        <v>90</v>
      </c>
    </row>
    <row r="36" customFormat="false" ht="15" hidden="false" customHeight="false" outlineLevel="0" collapsed="false">
      <c r="A36" s="3" t="s">
        <v>58</v>
      </c>
      <c r="B36" s="3" t="s">
        <v>181</v>
      </c>
      <c r="C36" s="3" t="n">
        <v>1</v>
      </c>
      <c r="D36" s="3" t="s">
        <v>196</v>
      </c>
      <c r="E36" s="3" t="n">
        <v>15</v>
      </c>
      <c r="F36" s="3" t="n">
        <v>15</v>
      </c>
    </row>
    <row r="37" customFormat="false" ht="15" hidden="false" customHeight="false" outlineLevel="0" collapsed="false">
      <c r="A37" s="3" t="s">
        <v>58</v>
      </c>
      <c r="B37" s="3" t="s">
        <v>181</v>
      </c>
      <c r="C37" s="3" t="n">
        <v>2</v>
      </c>
      <c r="D37" s="3" t="s">
        <v>183</v>
      </c>
      <c r="E37" s="3" t="n">
        <v>3</v>
      </c>
      <c r="F37" s="3" t="n">
        <v>15</v>
      </c>
    </row>
    <row r="38" customFormat="false" ht="15" hidden="false" customHeight="false" outlineLevel="0" collapsed="false">
      <c r="A38" s="3" t="s">
        <v>74</v>
      </c>
      <c r="B38" s="3" t="s">
        <v>163</v>
      </c>
      <c r="C38" s="3" t="n">
        <v>1</v>
      </c>
      <c r="D38" s="3" t="s">
        <v>197</v>
      </c>
      <c r="E38" s="3" t="n">
        <v>19</v>
      </c>
      <c r="F38" s="3" t="n">
        <v>30</v>
      </c>
    </row>
    <row r="39" customFormat="false" ht="15" hidden="false" customHeight="false" outlineLevel="0" collapsed="false">
      <c r="A39" s="3" t="s">
        <v>74</v>
      </c>
      <c r="B39" s="3" t="s">
        <v>163</v>
      </c>
      <c r="C39" s="3" t="n">
        <v>2</v>
      </c>
      <c r="D39" s="3" t="s">
        <v>198</v>
      </c>
      <c r="E39" s="3" t="n">
        <v>25</v>
      </c>
      <c r="F39" s="3" t="n">
        <v>30</v>
      </c>
    </row>
    <row r="40" customFormat="false" ht="15" hidden="false" customHeight="false" outlineLevel="0" collapsed="false">
      <c r="A40" s="3" t="s">
        <v>74</v>
      </c>
      <c r="B40" s="3" t="s">
        <v>163</v>
      </c>
      <c r="C40" s="3" t="n">
        <v>3</v>
      </c>
      <c r="D40" s="3" t="s">
        <v>171</v>
      </c>
      <c r="E40" s="3" t="n">
        <v>24</v>
      </c>
      <c r="F40" s="3" t="n">
        <v>30</v>
      </c>
    </row>
    <row r="41" customFormat="false" ht="15" hidden="false" customHeight="false" outlineLevel="0" collapsed="false">
      <c r="A41" s="3" t="s">
        <v>74</v>
      </c>
      <c r="B41" s="3" t="s">
        <v>163</v>
      </c>
      <c r="C41" s="3" t="n">
        <v>4</v>
      </c>
      <c r="D41" s="3" t="s">
        <v>199</v>
      </c>
      <c r="E41" s="3" t="n">
        <v>28</v>
      </c>
      <c r="F41" s="3" t="n">
        <v>30</v>
      </c>
    </row>
    <row r="42" customFormat="false" ht="15" hidden="false" customHeight="false" outlineLevel="0" collapsed="false">
      <c r="A42" s="3" t="s">
        <v>74</v>
      </c>
      <c r="B42" s="3" t="s">
        <v>163</v>
      </c>
      <c r="C42" s="3" t="n">
        <v>5</v>
      </c>
      <c r="D42" s="3" t="s">
        <v>200</v>
      </c>
      <c r="E42" s="3" t="n">
        <v>21</v>
      </c>
      <c r="F42" s="3" t="n">
        <v>30</v>
      </c>
    </row>
    <row r="43" customFormat="false" ht="15" hidden="false" customHeight="false" outlineLevel="0" collapsed="false">
      <c r="A43" s="3" t="s">
        <v>74</v>
      </c>
      <c r="B43" s="3" t="s">
        <v>163</v>
      </c>
      <c r="C43" s="3" t="n">
        <v>6</v>
      </c>
      <c r="D43" s="3" t="s">
        <v>201</v>
      </c>
      <c r="E43" s="3" t="n">
        <v>21</v>
      </c>
      <c r="F43" s="3" t="n">
        <v>30</v>
      </c>
    </row>
    <row r="44" customFormat="false" ht="15" hidden="false" customHeight="false" outlineLevel="0" collapsed="false">
      <c r="A44" s="3" t="s">
        <v>74</v>
      </c>
      <c r="B44" s="3" t="s">
        <v>163</v>
      </c>
      <c r="C44" s="3" t="n">
        <v>7</v>
      </c>
      <c r="D44" s="3" t="s">
        <v>202</v>
      </c>
      <c r="E44" s="3" t="n">
        <v>20</v>
      </c>
      <c r="F44" s="3" t="n">
        <v>30</v>
      </c>
    </row>
    <row r="45" customFormat="false" ht="15" hidden="false" customHeight="false" outlineLevel="0" collapsed="false">
      <c r="A45" s="3" t="s">
        <v>74</v>
      </c>
      <c r="B45" s="3" t="s">
        <v>163</v>
      </c>
      <c r="C45" s="3" t="n">
        <v>8</v>
      </c>
      <c r="D45" s="3" t="s">
        <v>203</v>
      </c>
      <c r="E45" s="3" t="n">
        <v>21</v>
      </c>
      <c r="F45" s="3" t="n">
        <v>30</v>
      </c>
    </row>
    <row r="46" customFormat="false" ht="15" hidden="false" customHeight="false" outlineLevel="0" collapsed="false">
      <c r="A46" s="3" t="s">
        <v>74</v>
      </c>
      <c r="B46" s="3" t="s">
        <v>163</v>
      </c>
      <c r="C46" s="3" t="n">
        <v>9</v>
      </c>
      <c r="D46" s="3" t="s">
        <v>204</v>
      </c>
      <c r="E46" s="3" t="n">
        <v>21</v>
      </c>
      <c r="F46" s="3" t="n">
        <v>30</v>
      </c>
    </row>
    <row r="47" customFormat="false" ht="15" hidden="false" customHeight="false" outlineLevel="0" collapsed="false">
      <c r="A47" s="3" t="s">
        <v>74</v>
      </c>
      <c r="B47" s="3" t="s">
        <v>163</v>
      </c>
      <c r="C47" s="3" t="n">
        <v>10</v>
      </c>
      <c r="D47" s="3" t="s">
        <v>173</v>
      </c>
      <c r="E47" s="3" t="n">
        <v>26</v>
      </c>
      <c r="F47" s="3" t="n">
        <v>30</v>
      </c>
    </row>
    <row r="48" customFormat="false" ht="15" hidden="false" customHeight="false" outlineLevel="0" collapsed="false">
      <c r="A48" s="3" t="s">
        <v>74</v>
      </c>
      <c r="B48" s="3" t="s">
        <v>163</v>
      </c>
      <c r="C48" s="3" t="n">
        <v>11</v>
      </c>
      <c r="D48" s="3" t="s">
        <v>172</v>
      </c>
      <c r="E48" s="3" t="n">
        <v>24</v>
      </c>
      <c r="F48" s="3" t="n">
        <v>30</v>
      </c>
    </row>
    <row r="49" customFormat="false" ht="15" hidden="false" customHeight="false" outlineLevel="0" collapsed="false">
      <c r="A49" s="3" t="s">
        <v>74</v>
      </c>
      <c r="B49" s="3" t="s">
        <v>163</v>
      </c>
      <c r="C49" s="3" t="n">
        <v>12</v>
      </c>
      <c r="D49" s="3" t="s">
        <v>205</v>
      </c>
      <c r="E49" s="3" t="n">
        <v>24</v>
      </c>
      <c r="F49" s="3" t="n">
        <v>30</v>
      </c>
    </row>
    <row r="50" customFormat="false" ht="23.85" hidden="false" customHeight="false" outlineLevel="0" collapsed="false">
      <c r="A50" s="3" t="s">
        <v>74</v>
      </c>
      <c r="B50" s="3" t="s">
        <v>176</v>
      </c>
      <c r="C50" s="3" t="n">
        <v>1</v>
      </c>
      <c r="D50" s="3" t="s">
        <v>206</v>
      </c>
      <c r="E50" s="3" t="n">
        <v>78</v>
      </c>
      <c r="F50" s="3" t="n">
        <v>90</v>
      </c>
    </row>
    <row r="51" customFormat="false" ht="15" hidden="false" customHeight="false" outlineLevel="0" collapsed="false">
      <c r="A51" s="3" t="s">
        <v>74</v>
      </c>
      <c r="B51" s="3" t="s">
        <v>176</v>
      </c>
      <c r="C51" s="3" t="n">
        <v>2</v>
      </c>
      <c r="D51" s="3" t="s">
        <v>207</v>
      </c>
      <c r="E51" s="3" t="n">
        <v>74</v>
      </c>
      <c r="F51" s="3" t="n">
        <v>90</v>
      </c>
    </row>
    <row r="52" customFormat="false" ht="15" hidden="false" customHeight="false" outlineLevel="0" collapsed="false">
      <c r="A52" s="3" t="s">
        <v>74</v>
      </c>
      <c r="B52" s="3" t="s">
        <v>176</v>
      </c>
      <c r="C52" s="3" t="n">
        <v>3</v>
      </c>
      <c r="D52" s="3" t="s">
        <v>208</v>
      </c>
      <c r="E52" s="3" t="n">
        <v>75</v>
      </c>
      <c r="F52" s="3" t="n">
        <v>90</v>
      </c>
    </row>
    <row r="53" customFormat="false" ht="15" hidden="false" customHeight="false" outlineLevel="0" collapsed="false">
      <c r="A53" s="3" t="s">
        <v>74</v>
      </c>
      <c r="B53" s="3" t="s">
        <v>176</v>
      </c>
      <c r="C53" s="3" t="n">
        <v>4</v>
      </c>
      <c r="D53" s="3" t="s">
        <v>209</v>
      </c>
      <c r="E53" s="3" t="n">
        <v>67</v>
      </c>
      <c r="F53" s="3" t="n">
        <v>90</v>
      </c>
    </row>
    <row r="54" customFormat="false" ht="15" hidden="false" customHeight="false" outlineLevel="0" collapsed="false">
      <c r="A54" s="3" t="s">
        <v>74</v>
      </c>
      <c r="B54" s="3" t="s">
        <v>181</v>
      </c>
      <c r="C54" s="3" t="n">
        <v>1</v>
      </c>
      <c r="D54" s="3" t="s">
        <v>210</v>
      </c>
      <c r="E54" s="3" t="n">
        <v>7</v>
      </c>
      <c r="F54" s="3" t="n">
        <v>15</v>
      </c>
    </row>
    <row r="55" customFormat="false" ht="15" hidden="false" customHeight="false" outlineLevel="0" collapsed="false">
      <c r="A55" s="3" t="s">
        <v>74</v>
      </c>
      <c r="B55" s="3" t="s">
        <v>181</v>
      </c>
      <c r="C55" s="3" t="n">
        <v>2</v>
      </c>
      <c r="D55" s="3" t="s">
        <v>211</v>
      </c>
      <c r="E55" s="3" t="n">
        <v>8</v>
      </c>
      <c r="F55" s="3" t="n">
        <v>15</v>
      </c>
    </row>
  </sheetData>
  <autoFilter ref="A1:F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9" t="s">
        <v>212</v>
      </c>
      <c r="B1" s="9" t="s">
        <v>41</v>
      </c>
      <c r="C1" s="9" t="s">
        <v>213</v>
      </c>
      <c r="D1" s="9" t="s">
        <v>214</v>
      </c>
      <c r="E1" s="9" t="s">
        <v>27</v>
      </c>
    </row>
    <row r="2" customFormat="false" ht="15" hidden="false" customHeight="false" outlineLevel="0" collapsed="false">
      <c r="A2" s="13" t="s">
        <v>215</v>
      </c>
      <c r="B2" s="13" t="s">
        <v>64</v>
      </c>
      <c r="C2" s="13" t="n">
        <v>0</v>
      </c>
      <c r="D2" s="13" t="n">
        <v>1</v>
      </c>
      <c r="E2" s="13" t="s">
        <v>216</v>
      </c>
    </row>
    <row r="3" customFormat="false" ht="15" hidden="false" customHeight="false" outlineLevel="0" collapsed="false">
      <c r="A3" s="13" t="s">
        <v>217</v>
      </c>
      <c r="B3" s="13" t="s">
        <v>60</v>
      </c>
      <c r="C3" s="13" t="n">
        <v>0</v>
      </c>
      <c r="D3" s="13" t="n">
        <v>1</v>
      </c>
      <c r="E3" s="13" t="s">
        <v>216</v>
      </c>
    </row>
    <row r="4" customFormat="false" ht="15" hidden="false" customHeight="false" outlineLevel="0" collapsed="false">
      <c r="A4" s="13" t="s">
        <v>218</v>
      </c>
      <c r="B4" s="13" t="s">
        <v>68</v>
      </c>
      <c r="C4" s="13" t="n">
        <v>0</v>
      </c>
      <c r="D4" s="13" t="n">
        <v>1</v>
      </c>
      <c r="E4" s="13" t="s">
        <v>216</v>
      </c>
    </row>
    <row r="5" customFormat="false" ht="15" hidden="false" customHeight="false" outlineLevel="0" collapsed="false">
      <c r="A5" s="13" t="s">
        <v>219</v>
      </c>
      <c r="B5" s="13" t="s">
        <v>70</v>
      </c>
      <c r="C5" s="13" t="n">
        <v>0</v>
      </c>
      <c r="D5" s="13" t="n">
        <v>1</v>
      </c>
      <c r="E5" s="13" t="s">
        <v>216</v>
      </c>
    </row>
    <row r="6" customFormat="false" ht="15" hidden="false" customHeight="false" outlineLevel="0" collapsed="false">
      <c r="A6" s="13" t="s">
        <v>220</v>
      </c>
      <c r="B6" s="13" t="s">
        <v>50</v>
      </c>
      <c r="C6" s="13" t="n">
        <v>0</v>
      </c>
      <c r="D6" s="13" t="n">
        <v>1</v>
      </c>
      <c r="E6" s="13" t="s">
        <v>216</v>
      </c>
    </row>
    <row r="7" customFormat="false" ht="15" hidden="false" customHeight="false" outlineLevel="0" collapsed="false">
      <c r="A7" s="13" t="s">
        <v>221</v>
      </c>
      <c r="B7" s="13" t="s">
        <v>45</v>
      </c>
      <c r="C7" s="13" t="n">
        <v>0</v>
      </c>
      <c r="D7" s="13" t="n">
        <v>1</v>
      </c>
      <c r="E7" s="13" t="s">
        <v>216</v>
      </c>
    </row>
    <row r="8" customFormat="false" ht="15" hidden="false" customHeight="false" outlineLevel="0" collapsed="false">
      <c r="A8" s="13" t="s">
        <v>222</v>
      </c>
      <c r="B8" s="13" t="s">
        <v>54</v>
      </c>
      <c r="C8" s="13" t="n">
        <v>0</v>
      </c>
      <c r="D8" s="13" t="n">
        <v>1</v>
      </c>
      <c r="E8" s="13" t="s">
        <v>216</v>
      </c>
    </row>
    <row r="10" customFormat="false" ht="45.75" hidden="false" customHeight="true" outlineLevel="0" collapsed="false">
      <c r="A10" s="14" t="s">
        <v>223</v>
      </c>
      <c r="B10" s="14"/>
      <c r="C10" s="14"/>
      <c r="D10" s="14"/>
      <c r="E10" s="14"/>
    </row>
  </sheetData>
  <mergeCells count="1"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" t="s">
        <v>224</v>
      </c>
      <c r="B1" s="9" t="s">
        <v>225</v>
      </c>
      <c r="C1" s="9" t="s">
        <v>226</v>
      </c>
      <c r="D1" s="9" t="s">
        <v>227</v>
      </c>
    </row>
    <row r="2" customFormat="false" ht="15" hidden="false" customHeight="false" outlineLevel="0" collapsed="false">
      <c r="A2" s="13" t="n">
        <v>1</v>
      </c>
      <c r="B2" s="13" t="s">
        <v>228</v>
      </c>
      <c r="C2" s="13" t="s">
        <v>229</v>
      </c>
      <c r="D2" s="13" t="s">
        <v>230</v>
      </c>
    </row>
    <row r="3" customFormat="false" ht="15" hidden="false" customHeight="false" outlineLevel="0" collapsed="false">
      <c r="A3" s="13" t="n">
        <v>2</v>
      </c>
      <c r="B3" s="13" t="s">
        <v>231</v>
      </c>
      <c r="C3" s="13" t="s">
        <v>232</v>
      </c>
      <c r="D3" s="13" t="s">
        <v>230</v>
      </c>
    </row>
    <row r="4" customFormat="false" ht="23.85" hidden="false" customHeight="false" outlineLevel="0" collapsed="false">
      <c r="A4" s="13" t="n">
        <v>3</v>
      </c>
      <c r="B4" s="13" t="s">
        <v>233</v>
      </c>
      <c r="C4" s="13" t="s">
        <v>234</v>
      </c>
      <c r="D4" s="13" t="s">
        <v>230</v>
      </c>
    </row>
    <row r="5" customFormat="false" ht="23.85" hidden="false" customHeight="false" outlineLevel="0" collapsed="false">
      <c r="A5" s="13" t="n">
        <v>4</v>
      </c>
      <c r="B5" s="13" t="s">
        <v>235</v>
      </c>
      <c r="C5" s="13" t="s">
        <v>236</v>
      </c>
      <c r="D5" s="13" t="s">
        <v>230</v>
      </c>
    </row>
    <row r="6" customFormat="false" ht="15" hidden="false" customHeight="false" outlineLevel="0" collapsed="false">
      <c r="A6" s="13" t="n">
        <v>5</v>
      </c>
      <c r="B6" s="13" t="s">
        <v>237</v>
      </c>
      <c r="C6" s="13" t="s">
        <v>234</v>
      </c>
      <c r="D6" s="13" t="s">
        <v>230</v>
      </c>
    </row>
    <row r="7" customFormat="false" ht="15" hidden="false" customHeight="false" outlineLevel="0" collapsed="false">
      <c r="A7" s="13" t="n">
        <v>6</v>
      </c>
      <c r="B7" s="13" t="s">
        <v>238</v>
      </c>
      <c r="C7" s="13" t="s">
        <v>234</v>
      </c>
      <c r="D7" s="13" t="s">
        <v>230</v>
      </c>
    </row>
    <row r="8" customFormat="false" ht="23.85" hidden="false" customHeight="false" outlineLevel="0" collapsed="false">
      <c r="A8" s="12" t="n">
        <v>7</v>
      </c>
      <c r="B8" s="12" t="s">
        <v>239</v>
      </c>
      <c r="C8" s="12" t="s">
        <v>232</v>
      </c>
      <c r="D8" s="12" t="s">
        <v>240</v>
      </c>
    </row>
    <row r="9" customFormat="false" ht="15" hidden="false" customHeight="false" outlineLevel="0" collapsed="false">
      <c r="A9" s="12" t="n">
        <v>8</v>
      </c>
      <c r="B9" s="12" t="s">
        <v>241</v>
      </c>
      <c r="C9" s="12" t="s">
        <v>236</v>
      </c>
      <c r="D9" s="12" t="s">
        <v>242</v>
      </c>
    </row>
    <row r="10" customFormat="false" ht="23.85" hidden="false" customHeight="false" outlineLevel="0" collapsed="false">
      <c r="A10" s="12" t="n">
        <v>9</v>
      </c>
      <c r="B10" s="12" t="s">
        <v>243</v>
      </c>
      <c r="C10" s="12" t="s">
        <v>232</v>
      </c>
      <c r="D10" s="1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2026-09-17T18:22:14Z</dcterms:created>
  <dc:creator>openpyxl</dc:creator>
  <dc:description/>
  <dc:language>en-US</dc:language>
  <cp:lastModifiedBy/>
  <dcterms:modified xsi:type="dcterms:W3CDTF">2026-09-17T18:22:15Z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