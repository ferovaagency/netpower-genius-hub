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álogo Forza" sheetId="1" state="visible" r:id="rId3"/>
  </sheets>
  <definedNames>
    <definedName function="false" hidden="true" localSheetId="0" name="_xlnm._FilterDatabase" vbProcedure="false">'Catálogo Forza'!$A$6:$L$59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<sst xmlns="http://schemas.openxmlformats.org/spreadsheetml/2006/main" count="448" uniqueCount="322">
  <si>
    <t xml:space="preserve">Forza — catálogo completo para cargar · septiembre 2026</t>
  </si>
  <si>
    <t xml:space="preserve">TRM (edítala y todos los precios se recalculan)</t>
  </si>
  <si>
    <t xml:space="preserve">Fórmula del precio: USD × 1,20 (margen) × 1,19 (IVA) × TRM, redondeado a la centena. Solo se calcula si hay stock.</t>
  </si>
  <si>
    <t xml:space="preserve">Fuente de nombre, descripción y características: páginas oficiales de producto de forzaups.com, consultadas el 14 de septiembre de 2026. Precio USD, stock y MPN: Lista de Precios Forza, septiembre 2026. Lo que la página de Forza no publica se dejó vacío: no se completó con conocimiento general.</t>
  </si>
  <si>
    <t xml:space="preserve">#</t>
  </si>
  <si>
    <t xml:space="preserve">NOMBRE</t>
  </si>
  <si>
    <t xml:space="preserve">Tipo</t>
  </si>
  <si>
    <t xml:space="preserve">MPN</t>
  </si>
  <si>
    <t xml:space="preserve">Stock</t>
  </si>
  <si>
    <t xml:space="preserve">Precio USD lista</t>
  </si>
  <si>
    <t xml:space="preserve">PRECIO COP</t>
  </si>
  <si>
    <t xml:space="preserve">Estado en el sitio</t>
  </si>
  <si>
    <t xml:space="preserve">DESCRIPCIÓN (para el generador)</t>
  </si>
  <si>
    <t xml:space="preserve">Características</t>
  </si>
  <si>
    <t xml:space="preserve">Nombre oficial Forza</t>
  </si>
  <si>
    <t xml:space="preserve">Ficha técnica (PDF)</t>
  </si>
  <si>
    <t xml:space="preserve">UPS Online Forza Atlas 10K FDC-110K 10000VA / 10000W 110/220V Bifásica</t>
  </si>
  <si>
    <t xml:space="preserve">UPS Online</t>
  </si>
  <si>
    <t xml:space="preserve">FDC-110K</t>
  </si>
  <si>
    <t xml:space="preserve">Sin stock</t>
  </si>
  <si>
    <t xml:space="preserve">Ya publicada</t>
  </si>
  <si>
    <t xml:space="preserve">Habilita la función de desconexión automática, destinada a apagar de manera segura las computadoras conectadas.</t>
  </si>
  <si>
    <t xml:space="preserve">UPS en línea · 10KVA/10KW · Transformable · Escalable · Formato torre · 120/240V · Desconexión automática para apagado seguro</t>
  </si>
  <si>
    <t xml:space="preserve">UPS en línea 10KVA/10KW, transform, escalable, torre- 120/240V</t>
  </si>
  <si>
    <t xml:space="preserve">FDC-110K-SPA.pdf</t>
  </si>
  <si>
    <t xml:space="preserve">UPS Online Forza Atlas 6K FDC-106K 6000VA / 6000W 110/220V Bifásica</t>
  </si>
  <si>
    <t xml:space="preserve">FDC-106K</t>
  </si>
  <si>
    <t xml:space="preserve">Garantía de una conexión óptima en todo momento.</t>
  </si>
  <si>
    <t xml:space="preserve">6KVA/6KW · Transformable · Escalable · Formato torre · 120/240V · Tomacorrientes de calce perfecto que evitan que se suelten los enchufes</t>
  </si>
  <si>
    <t xml:space="preserve">UPS en línea 6KVA/6KW, transform, escalable, torre- 120/240V</t>
  </si>
  <si>
    <t xml:space="preserve">FDC-106K-SPA.pdf</t>
  </si>
  <si>
    <t xml:space="preserve">UPS Online Forza Atlas 3K FDC-103K 3000VA / 3000W 120V 9 Tomas</t>
  </si>
  <si>
    <t xml:space="preserve">FDC-103K</t>
  </si>
  <si>
    <t xml:space="preserve">Mayor capacidad de control y comunicación. Habilita la función de desconexión automática, destinada a apagar de manera segura las computadoras.</t>
  </si>
  <si>
    <t xml:space="preserve">3000VA/3000W · 9 salidas · Onda sinusoidal pura · Formato torre · 120V</t>
  </si>
  <si>
    <t xml:space="preserve">UPS en línea 3000VA/3000W, 9 salidas, sinus pura, torre- 120V</t>
  </si>
  <si>
    <t xml:space="preserve">FDC-103K-SPA.pdf</t>
  </si>
  <si>
    <t xml:space="preserve">UPS Online Forza FDC-1000T 1000VA / 900W 120V 3 Tomas Monofásica</t>
  </si>
  <si>
    <t xml:space="preserve">FDC-1000T</t>
  </si>
  <si>
    <t xml:space="preserve">Fuente de reserva excepcional que reduce períodos de inactividad. Activa instantáneamente el modo de batería en la UPS.</t>
  </si>
  <si>
    <t xml:space="preserve">1000VA/900W · 3 salidas · Onda sinusoidal pura · Formato torre · 120V</t>
  </si>
  <si>
    <t xml:space="preserve">UPS en línea 1000VA/900W, 3 salidas, sinus pura, torre-120V</t>
  </si>
  <si>
    <t xml:space="preserve">fdc-1000t_ds_spa.pdf</t>
  </si>
  <si>
    <t xml:space="preserve">Estación de Energía Portátil Forza FPP-T300 300W</t>
  </si>
  <si>
    <t xml:space="preserve">Estación de Energía Portátil</t>
  </si>
  <si>
    <t xml:space="preserve">FPP-T300</t>
  </si>
  <si>
    <t xml:space="preserve">La serie de centrales eléctricas Titan de Forza es la solución perfecta para cualquier escenario en el que se haga indispensable el acceso a energía confiable y portátil. Con sus diferentes capacidades, características ventajosas y aplicaciones diversas, las centrales Titan le permiten estar siempre conectado y disponer de electricidad, dondequiera que vaya.</t>
  </si>
  <si>
    <t xml:space="preserve">300W · 2 tomas CA · 6 puertos CC · 3.75V / 110V · Batería LiMnFePO4 · Serie Titan</t>
  </si>
  <si>
    <t xml:space="preserve">Central eléctrica portátil 300W Tomas 2CA/6CC 3.75V LiMnFePO4 - 110V</t>
  </si>
  <si>
    <t xml:space="preserve">FPP-T300_DS_SPA.pdf</t>
  </si>
  <si>
    <t xml:space="preserve">Estación de Energía Portátil Forza FPP-T100 100W</t>
  </si>
  <si>
    <t xml:space="preserve">FPP-T100</t>
  </si>
  <si>
    <t xml:space="preserve">La nueva estación de energía portátil de 100W de Forza es tu compañera ideal para mantener todos tus dispositivos cargados y listos para cualquier situación.</t>
  </si>
  <si>
    <t xml:space="preserve">100W · Salidas de 5V, 9V y 12V CC · USB-A y USB-C · 1 salida CA · Batería LiFePO4 · 110V · Carga en 1,2 h con el cargador de 65W incluido · Carga hasta 4 dispositivos a la vez · Compacto y liviano · Cumple regulaciones TSA para viaje aéreo</t>
  </si>
  <si>
    <t xml:space="preserve">Central Eléctrica Portátil 100W, 5/9/12VCC, USB-A + USB-C, 1 CA, LiFePO4 - 110V</t>
  </si>
  <si>
    <t xml:space="preserve">FPP-T100_DS_SPA.pdf</t>
  </si>
  <si>
    <t xml:space="preserve">Regulador de Voltaje Forza FVR-3001 3000VA / 1500W 115V 4 Tomas</t>
  </si>
  <si>
    <t xml:space="preserve">Regulador de Voltaje</t>
  </si>
  <si>
    <t xml:space="preserve">FVR-3001</t>
  </si>
  <si>
    <t xml:space="preserve">Es la solución fiable que ofrece la protección adecuada contra sobretensiones y caídas de voltaje, ya sea transitorias o prolongadas.</t>
  </si>
  <si>
    <t xml:space="preserve">3000VA/1500W · 4 salidas · Puerto RJ45 · 120V · Protección contra sobretensiones y caídas de voltaje transitorias o prolongadas · Serie FVR</t>
  </si>
  <si>
    <t xml:space="preserve">Regulador automático de voltaje 3000VA/1500W, 4 slds, RJ45-120V</t>
  </si>
  <si>
    <t xml:space="preserve">fvr-3001-ds_spa.pdf</t>
  </si>
  <si>
    <t xml:space="preserve">Regulador de Voltaje Forza FVR-2201 2200VA / 1100W 115V 4 Tomas</t>
  </si>
  <si>
    <t xml:space="preserve">FVR-2201</t>
  </si>
  <si>
    <t xml:space="preserve">Protección para señales de datos por línea telefónica y de red. Resguarda sus equipos de comunicación contra el efecto nocivo de cargas parásitas.</t>
  </si>
  <si>
    <t xml:space="preserve">2200VA/1100W · 8 salidas · Conector RJ11 · 120V · Protección de datos por línea telefónica y de red</t>
  </si>
  <si>
    <t xml:space="preserve">Regulador automático de voltaje 2200VA/1100W, 8 slds, RJ11-120V</t>
  </si>
  <si>
    <t xml:space="preserve">fvr-2201_ds_spa.pdf</t>
  </si>
  <si>
    <t xml:space="preserve">Regulador de Voltaje Forza FVR-1221USB 1200VA / 600W 120V 8 Tomas USB-C</t>
  </si>
  <si>
    <t xml:space="preserve">FVR-1221USB</t>
  </si>
  <si>
    <t xml:space="preserve">1200VA/600W · 8 salidas · 2 puertos USB · 120V</t>
  </si>
  <si>
    <t xml:space="preserve">Regulador automático de voltaje 1200VA/600W, 8 slds, 2 USB-120V</t>
  </si>
  <si>
    <t xml:space="preserve">FVR-1221USB_FVR-1222USB_DS-SPA.pdf</t>
  </si>
  <si>
    <t xml:space="preserve">Regulador de Voltaje Forza FVR-1011USB 1000VA / 500W 115V 4 Tomas USB</t>
  </si>
  <si>
    <t xml:space="preserve">FVR-1011USB</t>
  </si>
  <si>
    <t xml:space="preserve">El Regulador Automático de Voltaje FVR-1011USB de Forza es la solución perfecta para mejorar el desempeño de sus componentes al mismo tiempo que protege su valiosa inversión.</t>
  </si>
  <si>
    <t xml:space="preserve">1000VA/500W · 4 salidas AC · 2 puertos USB · 115V</t>
  </si>
  <si>
    <t xml:space="preserve">Regulador autom. voltaje 1000VA/500W 4 salidas AC 2USB 115V</t>
  </si>
  <si>
    <t xml:space="preserve">FVR-1011_FVR-1011USB_DS_SPA.pdf</t>
  </si>
  <si>
    <t xml:space="preserve">Supresor de Picos Forza FSP-612USBW 110/220V 6 Tomas 1200 Julios USB Blanco</t>
  </si>
  <si>
    <t xml:space="preserve">Supresor de Picos</t>
  </si>
  <si>
    <t xml:space="preserve">FSP-612USBW</t>
  </si>
  <si>
    <t xml:space="preserve">1200J · 1680W · 6 salidas · Enchufe plano · 120V/240V · Serie FSP</t>
  </si>
  <si>
    <t xml:space="preserve">Protector tensión 1200J/1680W, 6 slds, enchufe plano-120V/240V</t>
  </si>
  <si>
    <t xml:space="preserve">FSP-612USBW-SPA.pdf</t>
  </si>
  <si>
    <t xml:space="preserve">Regulador de Voltaje Forza FVR-1011 1000VA / 500W 115V 4 Tomas</t>
  </si>
  <si>
    <t xml:space="preserve">FVR-1011</t>
  </si>
  <si>
    <t xml:space="preserve">Es la solución perfecta para optimizar el desempeño de sus componentes y proteger su valiosa inversión.</t>
  </si>
  <si>
    <t xml:space="preserve">1000VA/500W · 4 salidas AC · 115V · Serie FVR</t>
  </si>
  <si>
    <t xml:space="preserve">Regulador automático voltaje 1000VA/500W 4 salidas AC 115V</t>
  </si>
  <si>
    <t xml:space="preserve">Multitoma Forza PS-1006B 110/220V 6 Tomas</t>
  </si>
  <si>
    <t xml:space="preserve">Multitoma</t>
  </si>
  <si>
    <t xml:space="preserve">PS-1006B</t>
  </si>
  <si>
    <t xml:space="preserve">Componente indispensable para proteger equipos eléctricos así como aparatos electrónicos delicados contra los efectos potencialmente perjudiciales.</t>
  </si>
  <si>
    <t xml:space="preserve">1680W · 6 tomas NEMA universales · Disyuntor reposicionable · 120V/240V</t>
  </si>
  <si>
    <t xml:space="preserve">Regleta 1680W, 6 NEMA universales, disyuntor reposición 120V/240V</t>
  </si>
  <si>
    <t xml:space="preserve">PS-1006B-SPA.pdf</t>
  </si>
  <si>
    <t xml:space="preserve">Protector de Voltaje Forza FVP-0200C 120V 2 Tomas 1400 Julios Coaxial y RJ45</t>
  </si>
  <si>
    <t xml:space="preserve">Protector de Voltaje</t>
  </si>
  <si>
    <t xml:space="preserve">FVP-0200C</t>
  </si>
  <si>
    <t xml:space="preserve">El práctico interruptor de encendido/apagado contribuye a disminuir el consumo de electricidad, para no obstruir las demás tomas de corriente.</t>
  </si>
  <si>
    <t xml:space="preserve">1400J · 1800W · 2 salidas · Giro de 350° · Conexión coaxial · 120V · Serie FVP</t>
  </si>
  <si>
    <t xml:space="preserve">Protector de voltaje 1400J/1800W, 2 slds, giro de 350°, coax-120V</t>
  </si>
  <si>
    <t xml:space="preserve">FVP-0200C-SPA.pdf</t>
  </si>
  <si>
    <t xml:space="preserve">Protector de Voltaje Forza Zion FVP-1201B 120V 1 Tomas 900 Julios</t>
  </si>
  <si>
    <t xml:space="preserve">FVP-1201B</t>
  </si>
  <si>
    <t xml:space="preserve">900J · 1800W · 1 salida · Giro de 350° · Temporizador · 120V · Serie FVP</t>
  </si>
  <si>
    <t xml:space="preserve">Protector de voltaje 900J/1800W, 1 sld, giro de 350°, tempor-120V</t>
  </si>
  <si>
    <t xml:space="preserve">FVP-1201B-SPA.pdf</t>
  </si>
  <si>
    <t xml:space="preserve">Protector de Voltaje Forza Zion FVP-1201N 120V 1 Tomas 900 Julios Negro</t>
  </si>
  <si>
    <t xml:space="preserve">FVP-1201N</t>
  </si>
  <si>
    <t xml:space="preserve">900J · 1800W · 1 salida · Giro de 350° · Conexión RJ45 · 120V · Interruptor de encendido/apagado</t>
  </si>
  <si>
    <t xml:space="preserve">Protector de voltaje 900J/1800W, 1 sld, giro de 350°, RJ45-120V</t>
  </si>
  <si>
    <t xml:space="preserve">FVP-1201N-SPA.pdf</t>
  </si>
  <si>
    <t xml:space="preserve">Multitoma Forza PS-611UL 110V 6 Tomas con Breaker</t>
  </si>
  <si>
    <t xml:space="preserve">PS-611UL</t>
  </si>
  <si>
    <t xml:space="preserve">Se instala fácilmente con sólo dos tornillos. La opción de montaje en la pared o debajo del escritorio permite crear un espacio despejado y seguro.</t>
  </si>
  <si>
    <t xml:space="preserve">1875W · 6 tomas NEMA · Certificación ETL · Disyuntor reposicionable · 120V · Montaje en pared o bajo escritorio</t>
  </si>
  <si>
    <t xml:space="preserve">Regleta 1875W, 6 slds NEMA, cert ETL, disyuntor reposición-120V</t>
  </si>
  <si>
    <t xml:space="preserve">PS-611UL-SPA.PDF</t>
  </si>
  <si>
    <t xml:space="preserve">Batería Sellada para UPS Forza FUB-1245 12V 4.5Ah</t>
  </si>
  <si>
    <t xml:space="preserve">Batería para UPS</t>
  </si>
  <si>
    <t xml:space="preserve">FUB-1245</t>
  </si>
  <si>
    <t xml:space="preserve">NUEVA</t>
  </si>
  <si>
    <t xml:space="preserve">Impresionante desempeño y extensa vida útil. Su estructura hermética permite colocar la unidad en cualquier posición.</t>
  </si>
  <si>
    <t xml:space="preserve">12V · 4,5Ah · Recargable · Tecnología AGM · Sin mantenimiento · Serie FUB</t>
  </si>
  <si>
    <t xml:space="preserve">Batería sellada 12V/4,5Ah recargable, AGM, sin mantenimiento</t>
  </si>
  <si>
    <t xml:space="preserve">FUB-1245-SPA.pdf</t>
  </si>
  <si>
    <t xml:space="preserve">Batería Sellada para UPS Forza FUB-1270 12V 7Ah</t>
  </si>
  <si>
    <t xml:space="preserve">FUB-1270</t>
  </si>
  <si>
    <t xml:space="preserve">Impresionante desempeño y extensa vida útil. Su estructura hermética permite colocar la unidad en cualquier posición y evita la filtración de ácido.</t>
  </si>
  <si>
    <t xml:space="preserve">12V · 7Ah · Tecnología AGM · Sin mantenimiento · Estructura hermética · Instalable en cualquier posición · Evita filtración de ácido</t>
  </si>
  <si>
    <t xml:space="preserve">Batería sellada recargable 12V/7Ah, AGM, sin mantenimiento</t>
  </si>
  <si>
    <t xml:space="preserve">FUB-1270_DS_SPA.pdf</t>
  </si>
  <si>
    <t xml:space="preserve">Batería Sellada para UPS Forza FUB-1290 12V 9Ah</t>
  </si>
  <si>
    <t xml:space="preserve">FUB-1290</t>
  </si>
  <si>
    <t xml:space="preserve">12V · 9Ah · Recargable · Tecnología AGM · Sin mantenimiento · Estructura hermética</t>
  </si>
  <si>
    <t xml:space="preserve">Batería sellada 12V/9Ah recargable, AGM, sin mantenimiento</t>
  </si>
  <si>
    <t xml:space="preserve">FUB-1290-SPA.pdf</t>
  </si>
  <si>
    <t xml:space="preserve">UPS Online Forza Zeus2 FTP-220K 20kW 208V Torre Trifásica LCD</t>
  </si>
  <si>
    <t xml:space="preserve">FTP-220K</t>
  </si>
  <si>
    <t xml:space="preserve">FTP-220KM-DS_SPA.pdf</t>
  </si>
  <si>
    <t xml:space="preserve">UPS Online Forza Zeus2 FTP-210K 10kW 208V Torre Trifásica LCD</t>
  </si>
  <si>
    <t xml:space="preserve">FTP-210K</t>
  </si>
  <si>
    <t xml:space="preserve">FTP-2xxK_DS_SPA.pdf</t>
  </si>
  <si>
    <t xml:space="preserve">UPS Online Forza FDC-106KMR-ISO 6000VA / 6000W 110/220V</t>
  </si>
  <si>
    <t xml:space="preserve">FDC-106KMR-ISO</t>
  </si>
  <si>
    <t xml:space="preserve">6KVA/6KW · Transformador de aislamiento (ISO) · Escalable · Formato torre/bastidor · 120/240V</t>
  </si>
  <si>
    <t xml:space="preserve">UPS en línea 6KVA/6KW, ISO transf, escalable, torre/bast- 120/240V</t>
  </si>
  <si>
    <t xml:space="preserve">FDC-106KMR-ISO-SPA.pdf</t>
  </si>
  <si>
    <t xml:space="preserve">UPS Online Forza FDC-2000T 2000VA / 1800W 120V 4 Tomas Monofásica</t>
  </si>
  <si>
    <t xml:space="preserve">FDC-2000T</t>
  </si>
  <si>
    <t xml:space="preserve">2000VA/1800W · 4 salidas · Onda sinusoidal pura · Formato torre · 120V</t>
  </si>
  <si>
    <t xml:space="preserve">UPS en línea 2000VA/1800W, 4 slds, sinusoidal pura, torre-120V</t>
  </si>
  <si>
    <t xml:space="preserve">fdc-2000t-ds_spa.pdf</t>
  </si>
  <si>
    <t xml:space="preserve">UPS Interactiva Forza FX-2200LCD Smart 2200VA / 1200W 120V 8 Tomas</t>
  </si>
  <si>
    <t xml:space="preserve">UPS Interactiva</t>
  </si>
  <si>
    <t xml:space="preserve">FX-2200LCD</t>
  </si>
  <si>
    <t xml:space="preserve">Diseñada para detectar cualquier anomalía antes de causar fallas mayores.</t>
  </si>
  <si>
    <t xml:space="preserve">2200VA/1200W · 8 salidas · Protección giga y coaxial · Formato torre · 120V · Pantalla LCD</t>
  </si>
  <si>
    <t xml:space="preserve">UPS interactiva 2200VA/1200W, 8 slds, giga &amp; coax, torre-120V</t>
  </si>
  <si>
    <t xml:space="preserve">FX-2200LCD-(Giga)-SPA.pdf</t>
  </si>
  <si>
    <t xml:space="preserve">UPS Interactiva Forza SL-2001UL Smart 2000VA / 1200W 120V 8 Tomas 1100 Julios</t>
  </si>
  <si>
    <t xml:space="preserve">SL-2001UL</t>
  </si>
  <si>
    <t xml:space="preserve">2000VA/1200W · 8 salidas · Pantalla LCD táctil · Formato torre · 120V · Serie SL</t>
  </si>
  <si>
    <t xml:space="preserve">UPS inteligente 2000VA/1200W, 8 salidas, LCD táctil, torre-120V</t>
  </si>
  <si>
    <t xml:space="preserve">SL-2001UL_SPA.pdf</t>
  </si>
  <si>
    <t xml:space="preserve">UPS Online Forza FDC-RT1000VA 1000VA / 700W 120V 3 Tomas Monofásica USB</t>
  </si>
  <si>
    <t xml:space="preserve">FDC-RT1000VA</t>
  </si>
  <si>
    <t xml:space="preserve">1000VA/700W · 3 salidas · Onda sinusoidal pura · Formato torre · 120V</t>
  </si>
  <si>
    <t xml:space="preserve">UPS en línea 1000VA/700W, 3 slds, sinusoidal pura, torre-120V</t>
  </si>
  <si>
    <t xml:space="preserve">FDC-RT1000VA-SPA.pdf</t>
  </si>
  <si>
    <t xml:space="preserve">UPS Interactiva Forza NT-2401PRO Smart 2400VA / 1200W 120V 10 Tomas</t>
  </si>
  <si>
    <t xml:space="preserve">NT-2401PRO</t>
  </si>
  <si>
    <t xml:space="preserve">Proteja sus equipos electrónicos más delicados y críticos con la serie NT de UPS interactivos inteligentes de Forza, diseñados para mantenerlos intactos y funcionando sin problemas gracias a sus numerosas protecciones integradas.</t>
  </si>
  <si>
    <t xml:space="preserve">2400VA/1200W · 10 salidas · Conector RJ45 · Torre compacta · 120V · Serie NT PRO</t>
  </si>
  <si>
    <t xml:space="preserve">UPS interactiva 2400VA/1200W, 10 slds, RJ45, torre comp-120V</t>
  </si>
  <si>
    <t xml:space="preserve">NT-2401PRO_DS_SPA.pdf</t>
  </si>
  <si>
    <t xml:space="preserve">UPS Interactiva Forza FX-1500LCD Smart 1500VA / 840W 120V 8 Tomas</t>
  </si>
  <si>
    <t xml:space="preserve">FX-1500LCD</t>
  </si>
  <si>
    <t xml:space="preserve">Avanzadas funciones de control y comunicación. Permite la desconexión automática del sistema, al apagar correctamente las computadoras enlazadas en la red.</t>
  </si>
  <si>
    <t xml:space="preserve">1500VA/840W · 8 salidas · Protección giga y coaxial · Formato torre · 120V · Pantalla LCD</t>
  </si>
  <si>
    <t xml:space="preserve">UPS interactiva 1500VA/840W, 8 slds, giga &amp; coax, torre-120V</t>
  </si>
  <si>
    <t xml:space="preserve">FX-1500LCD%20(Giga)-SPA.pdf</t>
  </si>
  <si>
    <t xml:space="preserve">UPS Interactiva Forza HT-1000LCD 1000VA / 600W 120V 12 Tomas USB</t>
  </si>
  <si>
    <t xml:space="preserve">HT-1000LCD</t>
  </si>
  <si>
    <t xml:space="preserve">Su diseño ha sido concebido para suministrar energía limpia y regulada a componentes de cine en el hogar, equipos audiovisuales y de entretenimiento.</t>
  </si>
  <si>
    <t xml:space="preserve">1000VA/600W · 12 salidas · Conector coaxial · Puerto USB · Formato sobremesa · 120V · Pantalla LCD</t>
  </si>
  <si>
    <t xml:space="preserve">UPS interactiva 1000VA/600W, 12 slds, coax, USB, sobremesa-120V</t>
  </si>
  <si>
    <t xml:space="preserve">ht-1000lcd_ds_spa.pdf</t>
  </si>
  <si>
    <t xml:space="preserve">UPS Interactiva Forza SL-1011UL Smart 1000VA / 600W 120V 8 Tomas 1100 Julios</t>
  </si>
  <si>
    <t xml:space="preserve">SL-1011UL</t>
  </si>
  <si>
    <t xml:space="preserve">1000VA/600W · 8 salidas · Pantalla LCD táctil · Formato torre · 120V · Serie SL</t>
  </si>
  <si>
    <t xml:space="preserve">UPS inteligente 1000VA/600W, 8 slds, LCD táctil, torre-120V</t>
  </si>
  <si>
    <t xml:space="preserve">SL-1011UL_DS_SPA.pdf</t>
  </si>
  <si>
    <t xml:space="preserve">UPS Interactiva Forza SL-801UL Smart 800VA / 480W 120V 6 Tomas</t>
  </si>
  <si>
    <t xml:space="preserve">SL-801UL</t>
  </si>
  <si>
    <t xml:space="preserve">Esta UPS evita la pérdida de datos al mantener a los equipos críticos operando constantemente.</t>
  </si>
  <si>
    <t xml:space="preserve">800VA/480W · 6 salidas · Pantalla LCD táctil · Torre compacta · 120V · Serie SL</t>
  </si>
  <si>
    <t xml:space="preserve">UPS inteligente 800VA/480W, 6 slds, LCD táctil, torre comp-120V</t>
  </si>
  <si>
    <t xml:space="preserve">SL-801UL-SPA.pdf</t>
  </si>
  <si>
    <t xml:space="preserve">UPS Interactiva Forza NT-1011 1000VA / 500W 120V 6 Tomas</t>
  </si>
  <si>
    <t xml:space="preserve">NT-1011</t>
  </si>
  <si>
    <t xml:space="preserve">1000VA/500W · 6 salidas · Conector RJ11 · Torre compacta · 120V · Serie NT</t>
  </si>
  <si>
    <t xml:space="preserve">UPS interactiva 1000VA/500W, 6 slds, RJ11, torre comp-120V</t>
  </si>
  <si>
    <t xml:space="preserve">NT-1011-SPA.pdf</t>
  </si>
  <si>
    <t xml:space="preserve">UPS Interactiva Forza BT-1001 1000VA / 600W 120V 8 Tomas</t>
  </si>
  <si>
    <t xml:space="preserve">BT-1001</t>
  </si>
  <si>
    <t xml:space="preserve">La serie BT de Forza ofrece protección eléctrica total a su computadora personal y periféricos.</t>
  </si>
  <si>
    <t xml:space="preserve">1000VA · 8 salidas · Formato minitorre · 120V · Serie BT</t>
  </si>
  <si>
    <t xml:space="preserve">UPS interactiva 1000VA, 8 salidas, minitorre-120V</t>
  </si>
  <si>
    <t xml:space="preserve">BT-1001-SPA.pdf</t>
  </si>
  <si>
    <t xml:space="preserve">UPS Interactiva Forza NT-751 750VA / 375W 120V 6 Tomas</t>
  </si>
  <si>
    <t xml:space="preserve">NT-751</t>
  </si>
  <si>
    <t xml:space="preserve">Resguarda sus equipos de comunicación contra el efecto nocivo de cargas parásitas.</t>
  </si>
  <si>
    <t xml:space="preserve">750VA/375W · 6 salidas · Conector RJ11 · Torre compacta · 120V · Serie NT</t>
  </si>
  <si>
    <t xml:space="preserve">UPS interactiva 750VA/375W, 6 slds, RJ11, torre comp-120V</t>
  </si>
  <si>
    <t xml:space="preserve">NT-751-SPA.pdf</t>
  </si>
  <si>
    <t xml:space="preserve">UPS Interactiva Forza NT-511 500VA / 250W 120V 6 Tomas</t>
  </si>
  <si>
    <t xml:space="preserve">NT-511</t>
  </si>
  <si>
    <t xml:space="preserve">500VA/250W · 6 salidas · Conector RJ11 · Torre compacta · 120V · Desconexión automática · Serie NT</t>
  </si>
  <si>
    <t xml:space="preserve">UPS interactiva 500VA/250W, 6 slds, RJ11, torre comp-120V</t>
  </si>
  <si>
    <t xml:space="preserve">NT-511-SPA.pdf</t>
  </si>
  <si>
    <t xml:space="preserve">UPS Interactiva Forza BT-601 600VA / 360W 120V 8 Tomas</t>
  </si>
  <si>
    <t xml:space="preserve">BT-601</t>
  </si>
  <si>
    <t xml:space="preserve">600VA · 8 salidas · Formato minitorre · 120V · Serie BT</t>
  </si>
  <si>
    <t xml:space="preserve">UPS Interactiva 600VA, 8 salidas, minitorre-120V</t>
  </si>
  <si>
    <t xml:space="preserve">BT-601-SPA.pdf</t>
  </si>
  <si>
    <t xml:space="preserve">UPS Interactiva Forza BT-751 750VA / 450W 120V 8 Tomas</t>
  </si>
  <si>
    <t xml:space="preserve">BT-751</t>
  </si>
  <si>
    <t xml:space="preserve">750VA · 8 salidas · Formato minitorre · 120V · Serie BT</t>
  </si>
  <si>
    <t xml:space="preserve">UPS interactiva 750VA, 8 salidas, minitorre-120V</t>
  </si>
  <si>
    <t xml:space="preserve">BT-751-SPA.pdf</t>
  </si>
  <si>
    <t xml:space="preserve">Mini UPS Forza DC-140USB 14W USB</t>
  </si>
  <si>
    <t xml:space="preserve">Mini UPS</t>
  </si>
  <si>
    <t xml:space="preserve">DC-140USB</t>
  </si>
  <si>
    <t xml:space="preserve">Diseñada para mantener la red y la internet funcionando en el evento de un corte eléctrico, brinda protección a todas las cargas conectadas.</t>
  </si>
  <si>
    <t xml:space="preserve">24W · Puerto USB · Salidas de 5V, 9V y 12V CC · Serie DC · Respaldo para router y red durante cortes</t>
  </si>
  <si>
    <t xml:space="preserve">UPS y cargador portátil de 24W, pto USB, salidas de 5/9/12VCC</t>
  </si>
  <si>
    <t xml:space="preserve">DC-140USB-SPA.pdf</t>
  </si>
  <si>
    <t xml:space="preserve">UPS Interactiva Forza NT-1801PRO Smart 1800VA / 900W 120V 10 Tomas</t>
  </si>
  <si>
    <t xml:space="preserve">NT-1801PRO</t>
  </si>
  <si>
    <t xml:space="preserve">1800VA/900W · 10 salidas · Conector RJ45 · Torre compacta · 120V · Serie NT PRO</t>
  </si>
  <si>
    <t xml:space="preserve">UPS interactiva 1800VA/900W, 10 slds, RJ45, torre comp-120V</t>
  </si>
  <si>
    <t xml:space="preserve">NT-1801PRO_DS_SPA.pdf</t>
  </si>
  <si>
    <t xml:space="preserve">UPS Interactiva Forza HT-650LCD 650VA / 390W 120V 12 Tomas USB</t>
  </si>
  <si>
    <t xml:space="preserve">HT-650LCD</t>
  </si>
  <si>
    <t xml:space="preserve">Optimizada para componentes de entretenimiento y sistemas de cine en el hogar. Múltiples niveles de protección a través de una alta capacidad de flujo.</t>
  </si>
  <si>
    <t xml:space="preserve">650VA/390W · 12 salidas · Protección coaxial · Puerto USB · Formato sobremesa · 120V · Pantalla LCD</t>
  </si>
  <si>
    <t xml:space="preserve">UPS interactiva 650VA/390W, 12 slds, coax, USB, sobremesa-120V</t>
  </si>
  <si>
    <t xml:space="preserve">ht-650lcd_ds_spa.pdf</t>
  </si>
  <si>
    <t xml:space="preserve">Accesorio para UPS Forza FDC-CD610 Tarjeta SNMP</t>
  </si>
  <si>
    <t xml:space="preserve">Accesorio para UPS</t>
  </si>
  <si>
    <t xml:space="preserve">FDC-CD610</t>
  </si>
  <si>
    <t xml:space="preserve">Falta precio USD</t>
  </si>
  <si>
    <t xml:space="preserve">Avanzadas funciones de control y comunicación. Activa el enlace directo a la UPS, dentro o fuera de la red local, a través de internet o intranet.</t>
  </si>
  <si>
    <t xml:space="preserve">Tarjeta SNMP · Gestión y monitoreo remotos · Enlace directo a la UPS por internet o intranet</t>
  </si>
  <si>
    <t xml:space="preserve">Tarjeta inteligente SNMP, gestión y monitoreo remotos de redes</t>
  </si>
  <si>
    <t xml:space="preserve">FDC-CD610-SPA.pdf</t>
  </si>
  <si>
    <t xml:space="preserve">UPS Online Forza FDC-1511RUL 1500VA / 1500W 120V 8 Tomas</t>
  </si>
  <si>
    <t xml:space="preserve">FDC-1511RUL</t>
  </si>
  <si>
    <t xml:space="preserve">Mayor capacidad de control y comunicación. Habilita la función de desconexión automática, destinada a apagar de manera segura.</t>
  </si>
  <si>
    <t xml:space="preserve">1500VA/1350W · 8 salidas · Onda senoidal pura · Formato torre/bastidor · Certificación UL · 120V · Desconexión automática</t>
  </si>
  <si>
    <t xml:space="preserve">UPS en línea 1500VA/1350W, 8 slds, sinus, torre/bast, UL- 120V</t>
  </si>
  <si>
    <t xml:space="preserve">FDC-1511RUL-SPA.pdf</t>
  </si>
  <si>
    <t xml:space="preserve">UPS Online Forza FDC-3011RUL 3000VA / 3000W 120V 9 Tomas</t>
  </si>
  <si>
    <t xml:space="preserve">FDC-3011RUL</t>
  </si>
  <si>
    <t xml:space="preserve">3KVA/3KW · 8 salidas · Onda senoidal pura · Formato torre/bastidor · Certificación UL · 120V</t>
  </si>
  <si>
    <t xml:space="preserve">UPS en línea 3KVA/3KW, 8 slds, sinus, torre/bastidor, UL- 120V</t>
  </si>
  <si>
    <t xml:space="preserve">FDC-3011RUL-SPA.pdf</t>
  </si>
  <si>
    <t xml:space="preserve">UPS Online Forza FDC-110KMR-ISO 10000VA / 10000W 110/220V</t>
  </si>
  <si>
    <t xml:space="preserve">FDC-110KMR-ISO</t>
  </si>
  <si>
    <t xml:space="preserve">10KVA/10KW · Transformador de aislamiento (ISO) · Escalable · Formato torre/bastidor · 120V</t>
  </si>
  <si>
    <t xml:space="preserve">UPS en línea 10KVA/10KW, ISO transf, escalable, torre/bast-120V</t>
  </si>
  <si>
    <t xml:space="preserve">FDC-110KMR-ISO-SPA.pdf</t>
  </si>
  <si>
    <t xml:space="preserve">UPS Online Forza Zeus2 FTP-215K 15kW 208V Torre Trifásica LCD</t>
  </si>
  <si>
    <t xml:space="preserve">FTP-215K</t>
  </si>
  <si>
    <t xml:space="preserve">Estación de Energía Portátil Forza FPP-T1200 1200W</t>
  </si>
  <si>
    <t xml:space="preserve">FPP-T1200</t>
  </si>
  <si>
    <t xml:space="preserve">La serie de centrales eléctricas Titan de Forza es la solución perfecta para cualquier escenario en que se haga indispensable el acceso a energía confiable y portátil. Con sus diferentes capacidades, características ventajosas y aplicaciones diversas, le permite estar siempre conectado y disponer de electricidad, dondequiera que vaya.</t>
  </si>
  <si>
    <t xml:space="preserve">1200W · 3 tomas CA · 8 puertos CC · 3.75V / 110V · Batería LiMnFePO4 · Serie Titan</t>
  </si>
  <si>
    <t xml:space="preserve">Central eléctrica portátil 1200W Tomas 3CA/8CC 3.75V LiMnFePO4 - 110V</t>
  </si>
  <si>
    <t xml:space="preserve">FPP-T1200_DS_SPA.pdf</t>
  </si>
  <si>
    <t xml:space="preserve">Estación de Energía Portátil Forza FPP-T700 700W</t>
  </si>
  <si>
    <t xml:space="preserve">FPP-T700</t>
  </si>
  <si>
    <t xml:space="preserve">700W · 2 tomas CA · 8 puertos CC · 3.75V / 110V · Batería LiMnFePO4 · Serie Titan</t>
  </si>
  <si>
    <t xml:space="preserve">Central eléctrica portátil 700W Tomas 2CA/8CC 3.75V LiMnFePO4 - 110V</t>
  </si>
  <si>
    <t xml:space="preserve">FPP-T700_DS_SPA.pdf</t>
  </si>
  <si>
    <t xml:space="preserve">Panel Solar Portátil Forza FPV-T200W 200W</t>
  </si>
  <si>
    <t xml:space="preserve">Panel Solar Portátil</t>
  </si>
  <si>
    <t xml:space="preserve">FPV-T200W</t>
  </si>
  <si>
    <t xml:space="preserve">Descubre el poder del sol con el panel solar portátil Titan de 200W de Forza. Diseñado para quienes exigen más energía en sus actividades off-grid, viajes o emergencias, este panel transforma la luz solar en una fuente constante y segura para tus dispositivos esenciales.</t>
  </si>
  <si>
    <t xml:space="preserve">200W · 18V · Serie Titan · Uso off-grid, viajes y emergencias</t>
  </si>
  <si>
    <t xml:space="preserve">Panel Solar Portátil 200W - 18V</t>
  </si>
  <si>
    <t xml:space="preserve">FPV-T200W_DS_SPA.pdf</t>
  </si>
  <si>
    <t xml:space="preserve">Panel Solar Portátil Forza FPV-T100W 100W</t>
  </si>
  <si>
    <t xml:space="preserve">FPV-T100W</t>
  </si>
  <si>
    <t xml:space="preserve">Descubre el poder del sol con el panel solar portátil Titan de 100W de Forza. Diseñado para quienes exigen más energía en sus actividades off-grid, viajes o emergencias, este panel transforma la luz solar en una fuente constante y segura para tus dispositivos esenciales.</t>
  </si>
  <si>
    <t xml:space="preserve">100W · 18V · Serie Titan · Uso off-grid, viajes y emergencias</t>
  </si>
  <si>
    <t xml:space="preserve">Panel Solar Portátil 100W - 18V</t>
  </si>
  <si>
    <t xml:space="preserve">FPV-T100W_DS_SPA.pdf</t>
  </si>
  <si>
    <t xml:space="preserve">Panel Solar Portátil Forza FPV-T060W 60W USB</t>
  </si>
  <si>
    <t xml:space="preserve">FPV-T060W</t>
  </si>
  <si>
    <t xml:space="preserve">Descubre el poder del sol con el panel solar portátil Titan de 60W de Forza. Diseñado para quienes exigen más energía en sus actividades off-grid, viajes o emergencias, este panel transforma la luz solar en una fuente constante y segura para tus dispositivos esenciales.</t>
  </si>
  <si>
    <t xml:space="preserve">60W · 18V · Serie Titan · Uso off-grid, viajes y emergencias</t>
  </si>
  <si>
    <t xml:space="preserve">Panel Solar Portátil 60W - 18V</t>
  </si>
  <si>
    <t xml:space="preserve">FPV-T060W_DS_SPA.pdf</t>
  </si>
  <si>
    <t xml:space="preserve">Regulador de Voltaje Forza FVR-3601 3600VA / 1800W 115V 4 Tomas</t>
  </si>
  <si>
    <t xml:space="preserve">FVR-3601</t>
  </si>
  <si>
    <t xml:space="preserve">El Regulador Automático de Voltaje de la Serie FVR-3601 de Forza, también conocido como acondicionador de línea, ofrece la protección fiable y robusta contra sobretensiones y caídas de voltaje transitorias o prolongadas en la línea de suministro.</t>
  </si>
  <si>
    <t xml:space="preserve">3600VA/1800W · 4 tomas NEMA 5-15R · Serie FVR · Acondicionador de línea</t>
  </si>
  <si>
    <t xml:space="preserve">Regulador Automático de Voltaje 3600VA/1800W, 4 NEMA 5-15R</t>
  </si>
  <si>
    <t xml:space="preserve">FVR-3601_DS_SPA.pdf</t>
  </si>
  <si>
    <t xml:space="preserve">Protector de Voltaje Forza Zion FVP-1201B 2PK 120V 1 Tomas 900 Julios Pack x2</t>
  </si>
  <si>
    <t xml:space="preserve">FVP-1201B 2PK</t>
  </si>
  <si>
    <t xml:space="preserve">Cómo leer este archivo</t>
  </si>
  <si>
    <t xml:space="preserve">· PRECIO COP es una fórmula viva: cambia la TRM en la celda E3 y se recalculan los 42 precios.</t>
  </si>
  <si>
    <t xml:space="preserve">· Las filas sin precio son de dos clases: «Sin stock» (no se calcula por tu indicación) y «Falta precio USD» (la lista de Forza no lo trae).</t>
  </si>
  <si>
    <t xml:space="preserve">· La columna DESCRIPCIÓN con fondo amarillo trae un texto que Forza repite igual en varios productos de su propio sitio. Si se lo pasas tal cual al generador de fichas, vas a publicar contenido duplicado en 8 productos, que es justo el problema que estamos resolviendo. Úsalo como insumo, no como texto final.</t>
  </si>
  <si>
    <t xml:space="preserve">· Tres referencias no tienen página en forzaups.com: FTP-210K, FTP-215K y FTP-220K, las UPS trifásicas Zeus2. Para esas hay que pedirle el material a Forza.</t>
  </si>
  <si>
    <t xml:space="preserve">· La columna «Ficha técnica (PDF)» es el enlace que venía en tu lista de precios. Los PDF están en un servidor que bloquea la descarga automática, así que no pude leerlos desde aquí: se abren normal en el navegador.</t>
  </si>
</sst>
</file>

<file path=xl/styles.xml><?xml version="1.0" encoding="utf-8"?>
<styleSheet xmlns="http://schemas.openxmlformats.org/spreadsheetml/2006/main">
  <numFmts count="5">
    <numFmt numFmtId="164" formatCode="General"/>
    <numFmt numFmtId="165" formatCode="#,##0.00"/>
    <numFmt numFmtId="166" formatCode="#,##0"/>
    <numFmt numFmtId="167" formatCode="\$#,##0.0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b val="true"/>
      <sz val="11"/>
      <color rgb="FF0000FF"/>
      <name val="Arial"/>
      <family val="0"/>
      <charset val="1"/>
    </font>
    <font>
      <i val="true"/>
      <sz val="9"/>
      <name val="Arial"/>
      <family val="0"/>
      <charset val="1"/>
    </font>
    <font>
      <b val="true"/>
      <sz val="9"/>
      <color rgb="FFFFFFFF"/>
      <name val="Arial"/>
      <family val="0"/>
      <charset val="1"/>
    </font>
    <font>
      <sz val="9"/>
      <color rgb="FF0000FF"/>
      <name val="Arial"/>
      <family val="0"/>
      <charset val="1"/>
    </font>
    <font>
      <i val="true"/>
      <sz val="9"/>
      <color rgb="FF9A3E36"/>
      <name val="Arial"/>
      <family val="0"/>
      <charset val="1"/>
    </font>
    <font>
      <u val="single"/>
      <sz val="9"/>
      <color rgb="FF0563C1"/>
      <name val="Arial"/>
      <family val="0"/>
      <charset val="1"/>
    </font>
    <font>
      <b val="true"/>
      <sz val="9"/>
      <name val="Arial"/>
      <family val="0"/>
      <charset val="1"/>
    </font>
    <font>
      <sz val="9"/>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0E2C2A"/>
        <bgColor rgb="FF333333"/>
      </patternFill>
    </fill>
    <fill>
      <patternFill patternType="solid">
        <fgColor rgb="FFFBEEEC"/>
        <bgColor rgb="FFFFF2CC"/>
      </patternFill>
    </fill>
    <fill>
      <patternFill patternType="solid">
        <fgColor rgb="FFFFF2CC"/>
        <bgColor rgb="FFFBEEEC"/>
      </patternFill>
    </fill>
    <fill>
      <patternFill patternType="solid">
        <fgColor rgb="FFE6F4F2"/>
        <bgColor rgb="FFFBEEEC"/>
      </patternFill>
    </fill>
  </fills>
  <borders count="2">
    <border diagonalUp="false" diagonalDown="false">
      <left/>
      <right/>
      <top/>
      <bottom/>
      <diagonal/>
    </border>
    <border diagonalUp="false" diagonalDown="false">
      <left style="thin">
        <color rgb="FFD9E0DF"/>
      </left>
      <right style="thin">
        <color rgb="FFD9E0DF"/>
      </right>
      <top style="thin">
        <color rgb="FFD9E0DF"/>
      </top>
      <bottom style="thin">
        <color rgb="FFD9E0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6" fontId="0" fillId="0" borderId="1" xfId="0" applyFont="false" applyBorder="true" applyAlignment="true" applyProtection="false">
      <alignment horizontal="general" vertical="top" textRotation="0" wrapText="false" indent="0" shrinkToFit="false"/>
      <protection locked="true" hidden="false"/>
    </xf>
    <xf numFmtId="167" fontId="0" fillId="0" borderId="1" xfId="0" applyFont="false" applyBorder="true" applyAlignment="true" applyProtection="false">
      <alignment horizontal="general" vertical="top" textRotation="0" wrapText="false" indent="0" shrinkToFit="false"/>
      <protection locked="true" hidden="false"/>
    </xf>
    <xf numFmtId="164" fontId="10" fillId="4"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8" fontId="12" fillId="0" borderId="1" xfId="0" applyFont="true" applyBorder="true" applyAlignment="true" applyProtection="false">
      <alignment horizontal="general" vertical="top" textRotation="0" wrapText="fals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0" fillId="6" borderId="1" xfId="0" applyFont="false" applyBorder="true" applyAlignment="true" applyProtection="false">
      <alignment horizontal="general" vertical="top" textRotation="0" wrapText="fals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false" indent="0" shrinkToFit="false"/>
      <protection locked="true" hidden="false"/>
    </xf>
    <xf numFmtId="166" fontId="0" fillId="6" borderId="1" xfId="0" applyFont="false" applyBorder="true" applyAlignment="true" applyProtection="false">
      <alignment horizontal="general" vertical="top" textRotation="0" wrapText="fals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E2C2A"/>
          <bgColor rgb="FF000000"/>
        </patternFill>
      </fill>
    </dxf>
    <dxf>
      <fill>
        <patternFill patternType="solid">
          <fgColor rgb="FFE6F4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BEEEC"/>
          <bgColor rgb="FF000000"/>
        </patternFill>
      </fill>
    </dxf>
    <dxf>
      <fill>
        <patternFill patternType="solid">
          <fgColor rgb="FF9A3E36"/>
          <bgColor rgb="FF000000"/>
        </patternFill>
      </fill>
    </dxf>
    <dxf>
      <fill>
        <patternFill patternType="solid">
          <fgColor rgb="FFFFF2CC"/>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3E36"/>
      <rgbColor rgb="FFFFF2CC"/>
      <rgbColor rgb="FFE6F4F2"/>
      <rgbColor rgb="FF660066"/>
      <rgbColor rgb="FFFF8080"/>
      <rgbColor rgb="FF0563C1"/>
      <rgbColor rgb="FFD9E0DF"/>
      <rgbColor rgb="FF000080"/>
      <rgbColor rgb="FFFF00FF"/>
      <rgbColor rgb="FFFFFF00"/>
      <rgbColor rgb="FF00FFFF"/>
      <rgbColor rgb="FF800080"/>
      <rgbColor rgb="FF800000"/>
      <rgbColor rgb="FF008080"/>
      <rgbColor rgb="FF0000FF"/>
      <rgbColor rgb="FF00CCFF"/>
      <rgbColor rgb="FFFBEEEC"/>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E2C2A"/>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orza-ups-frontend.s3.amazonaws.com/media/docs/FDC-110K-SPA.pdf" TargetMode="External"/><Relationship Id="rId2" Type="http://schemas.openxmlformats.org/officeDocument/2006/relationships/hyperlink" Target="https://forza-ups-frontend.s3.amazonaws.com/media/docs/FDC-106K-SPA.pdf" TargetMode="External"/><Relationship Id="rId3" Type="http://schemas.openxmlformats.org/officeDocument/2006/relationships/hyperlink" Target="https://forza-ups-frontend.s3.amazonaws.com/media/docs/FDC-103K-SPA.pdf" TargetMode="External"/><Relationship Id="rId4" Type="http://schemas.openxmlformats.org/officeDocument/2006/relationships/hyperlink" Target="https://forza-ups-frontend.s3.amazonaws.com/media/docs/fdc-1000t_ds_spa.pdf" TargetMode="External"/><Relationship Id="rId5" Type="http://schemas.openxmlformats.org/officeDocument/2006/relationships/hyperlink" Target="https://forza-ups-frontend.s3.amazonaws.com/media/docs/FPP-T300_DS_SPA.pdf" TargetMode="External"/><Relationship Id="rId6" Type="http://schemas.openxmlformats.org/officeDocument/2006/relationships/hyperlink" Target="https://forza-ups-frontend.s3.amazonaws.com/media/docs/FPP-T100_DS_SPA.pdf" TargetMode="External"/><Relationship Id="rId7" Type="http://schemas.openxmlformats.org/officeDocument/2006/relationships/hyperlink" Target="https://forza-ups-frontend.s3.amazonaws.com/media/docs/fvr-3001-ds_spa.pdf" TargetMode="External"/><Relationship Id="rId8" Type="http://schemas.openxmlformats.org/officeDocument/2006/relationships/hyperlink" Target="https://forza-ups-frontend.s3.amazonaws.com/media/docs/fvr-2201_ds_spa.pdf" TargetMode="External"/><Relationship Id="rId9" Type="http://schemas.openxmlformats.org/officeDocument/2006/relationships/hyperlink" Target="https://forza-ups-frontend.s3.amazonaws.com/media/docs/FVR-1221USB_FVR-1222USB_DS-SPA.pdf" TargetMode="External"/><Relationship Id="rId10" Type="http://schemas.openxmlformats.org/officeDocument/2006/relationships/hyperlink" Target="https://forza-ups-frontend.s3.amazonaws.com/media/docs/FVR-1011_FVR-1011USB_DS_SPA.pdf" TargetMode="External"/><Relationship Id="rId11" Type="http://schemas.openxmlformats.org/officeDocument/2006/relationships/hyperlink" Target="https://forza-ups-frontend.s3.amazonaws.com/media/docs/FSP-612USBW-SPA.pdf" TargetMode="External"/><Relationship Id="rId12" Type="http://schemas.openxmlformats.org/officeDocument/2006/relationships/hyperlink" Target="https://forza-ups-frontend.s3.amazonaws.com/media/docs/FVR-1011_FVR-1011USB_DS_SPA.pdf" TargetMode="External"/><Relationship Id="rId13" Type="http://schemas.openxmlformats.org/officeDocument/2006/relationships/hyperlink" Target="https://forza-ups-frontend.s3.amazonaws.com/media/docs/PS-1006B-SPA.pdf" TargetMode="External"/><Relationship Id="rId14" Type="http://schemas.openxmlformats.org/officeDocument/2006/relationships/hyperlink" Target="https://forza-ups-frontend.s3.amazonaws.com/media/docs/FVP-0200C-SPA.pdf" TargetMode="External"/><Relationship Id="rId15" Type="http://schemas.openxmlformats.org/officeDocument/2006/relationships/hyperlink" Target="https://forza-ups-frontend.s3.amazonaws.com/media/docs/FVP-1201B-SPA.pdf" TargetMode="External"/><Relationship Id="rId16" Type="http://schemas.openxmlformats.org/officeDocument/2006/relationships/hyperlink" Target="https://forza-ups-frontend.s3.amazonaws.com/media/docs/FVP-1201N-SPA.pdf" TargetMode="External"/><Relationship Id="rId17" Type="http://schemas.openxmlformats.org/officeDocument/2006/relationships/hyperlink" Target="https://forza-ups-frontend.s3.amazonaws.com/media/docs/PS-611UL-SPA.PDF" TargetMode="External"/><Relationship Id="rId18" Type="http://schemas.openxmlformats.org/officeDocument/2006/relationships/hyperlink" Target="https://forza-ups-frontend.s3.amazonaws.com/media/docs/FUB-1245-SPA.pdf" TargetMode="External"/><Relationship Id="rId19" Type="http://schemas.openxmlformats.org/officeDocument/2006/relationships/hyperlink" Target="https://forza-ups-frontend.s3.amazonaws.com/media/docs/FUB-1270_DS_SPA.pdf" TargetMode="External"/><Relationship Id="rId20" Type="http://schemas.openxmlformats.org/officeDocument/2006/relationships/hyperlink" Target="https://forza-ups-frontend.s3.amazonaws.com/media/docs/FUB-1290-SPA.pdf" TargetMode="External"/><Relationship Id="rId21" Type="http://schemas.openxmlformats.org/officeDocument/2006/relationships/hyperlink" Target="https://forza-ups-frontend.s3.amazonaws.com/media/docs/FTP-220KM-DS_SPA.pdf" TargetMode="External"/><Relationship Id="rId22" Type="http://schemas.openxmlformats.org/officeDocument/2006/relationships/hyperlink" Target="https://forza-ups-frontend.s3.amazonaws.com/media/docs/FTP-2xxK_DS_SPA.pdf" TargetMode="External"/><Relationship Id="rId23" Type="http://schemas.openxmlformats.org/officeDocument/2006/relationships/hyperlink" Target="https://forza-ups-frontend.s3.amazonaws.com/media/docs/FDC-106KMR-ISO-SPA.pdf" TargetMode="External"/><Relationship Id="rId24" Type="http://schemas.openxmlformats.org/officeDocument/2006/relationships/hyperlink" Target="https://forza-ups-frontend.s3.amazonaws.com/media/docs/fdc-2000t-ds_spa.pdf" TargetMode="External"/><Relationship Id="rId25" Type="http://schemas.openxmlformats.org/officeDocument/2006/relationships/hyperlink" Target="https://forza-ups-frontend.s3.amazonaws.com/media/docs/FX-2200LCD-(Giga)-SPA.pdf" TargetMode="External"/><Relationship Id="rId26" Type="http://schemas.openxmlformats.org/officeDocument/2006/relationships/hyperlink" Target="https://forza-ups-frontend.s3.amazonaws.com/media/docs/SL-2001UL_SPA.pdf" TargetMode="External"/><Relationship Id="rId27" Type="http://schemas.openxmlformats.org/officeDocument/2006/relationships/hyperlink" Target="https://forza-ups-frontend.s3.amazonaws.com/media/docs/FDC-RT1000VA-SPA.pdf" TargetMode="External"/><Relationship Id="rId28" Type="http://schemas.openxmlformats.org/officeDocument/2006/relationships/hyperlink" Target="https://forza-ups-frontend.s3.amazonaws.com/media/docs/NT-2401PRO_DS_SPA.pdf" TargetMode="External"/><Relationship Id="rId29" Type="http://schemas.openxmlformats.org/officeDocument/2006/relationships/hyperlink" Target="https://forza-ups-frontend.s3.amazonaws.com/media/docs/FX-1500LCD%20(Giga)-SPA.pdf" TargetMode="External"/><Relationship Id="rId30" Type="http://schemas.openxmlformats.org/officeDocument/2006/relationships/hyperlink" Target="https://forza-ups-frontend.s3.amazonaws.com/media/docs/ht-1000lcd_ds_spa.pdf" TargetMode="External"/><Relationship Id="rId31" Type="http://schemas.openxmlformats.org/officeDocument/2006/relationships/hyperlink" Target="https://forza-ups-frontend.s3.amazonaws.com/media/docs/SL-1011UL_DS_SPA.pdf" TargetMode="External"/><Relationship Id="rId32" Type="http://schemas.openxmlformats.org/officeDocument/2006/relationships/hyperlink" Target="https://forza-ups-frontend.s3.amazonaws.com/media/docs/SL-801UL-SPA.pdf" TargetMode="External"/><Relationship Id="rId33" Type="http://schemas.openxmlformats.org/officeDocument/2006/relationships/hyperlink" Target="https://forza-ups-frontend.s3.amazonaws.com/media/docs/NT-1011-SPA.pdf" TargetMode="External"/><Relationship Id="rId34" Type="http://schemas.openxmlformats.org/officeDocument/2006/relationships/hyperlink" Target="https://forza-ups-frontend.s3.amazonaws.com/media/docs/BT-1001-SPA.pdf" TargetMode="External"/><Relationship Id="rId35" Type="http://schemas.openxmlformats.org/officeDocument/2006/relationships/hyperlink" Target="https://forza-ups-frontend.s3.amazonaws.com/media/docs/NT-751-SPA.pdf" TargetMode="External"/><Relationship Id="rId36" Type="http://schemas.openxmlformats.org/officeDocument/2006/relationships/hyperlink" Target="https://forza-ups-frontend.s3.amazonaws.com/media/docs/NT-511-SPA.pdf" TargetMode="External"/><Relationship Id="rId37" Type="http://schemas.openxmlformats.org/officeDocument/2006/relationships/hyperlink" Target="https://forza-ups-frontend.s3.amazonaws.com/media/docs/BT-601-SPA.pdf" TargetMode="External"/><Relationship Id="rId38" Type="http://schemas.openxmlformats.org/officeDocument/2006/relationships/hyperlink" Target="https://forza-ups-frontend.s3.amazonaws.com/media/docs/BT-751-SPA.pdf" TargetMode="External"/><Relationship Id="rId39" Type="http://schemas.openxmlformats.org/officeDocument/2006/relationships/hyperlink" Target="https://forza-ups-frontend.s3.amazonaws.com/media/docs/DC-140USB-SPA.pdf" TargetMode="External"/><Relationship Id="rId40" Type="http://schemas.openxmlformats.org/officeDocument/2006/relationships/hyperlink" Target="https://forza-ups-frontend.s3.amazonaws.com/media/docs/NT-1801PRO_DS_SPA.pdf" TargetMode="External"/><Relationship Id="rId41" Type="http://schemas.openxmlformats.org/officeDocument/2006/relationships/hyperlink" Target="https://forza-ups-frontend.s3.amazonaws.com/media/docs/ht-650lcd_ds_spa.pdf" TargetMode="External"/><Relationship Id="rId42" Type="http://schemas.openxmlformats.org/officeDocument/2006/relationships/hyperlink" Target="https://forza-ups-frontend.s3.amazonaws.com/media/docs/FDC-CD610-SPA.pdf" TargetMode="External"/><Relationship Id="rId43" Type="http://schemas.openxmlformats.org/officeDocument/2006/relationships/hyperlink" Target="https://forza-ups-frontend.s3.amazonaws.com/media/docs/FDC-1511RUL-SPA.pdf" TargetMode="External"/><Relationship Id="rId44" Type="http://schemas.openxmlformats.org/officeDocument/2006/relationships/hyperlink" Target="https://forza-ups-frontend.s3.amazonaws.com/media/docs/FDC-3011RUL-SPA.pdf" TargetMode="External"/><Relationship Id="rId45" Type="http://schemas.openxmlformats.org/officeDocument/2006/relationships/hyperlink" Target="https://forza-ups-frontend.s3.amazonaws.com/media/docs/FDC-110KMR-ISO-SPA.pdf" TargetMode="External"/><Relationship Id="rId46" Type="http://schemas.openxmlformats.org/officeDocument/2006/relationships/hyperlink" Target="https://forza-ups-frontend.s3.amazonaws.com/media/docs/FTP-2xxK_DS_SPA.pdf" TargetMode="External"/><Relationship Id="rId47" Type="http://schemas.openxmlformats.org/officeDocument/2006/relationships/hyperlink" Target="https://forza-ups-frontend.s3.amazonaws.com/media/docs/FPP-T1200_DS_SPA.pdf" TargetMode="External"/><Relationship Id="rId48" Type="http://schemas.openxmlformats.org/officeDocument/2006/relationships/hyperlink" Target="https://forza-ups-frontend.s3.amazonaws.com/media/docs/FPP-T700_DS_SPA.pdf" TargetMode="External"/><Relationship Id="rId49" Type="http://schemas.openxmlformats.org/officeDocument/2006/relationships/hyperlink" Target="https://forza-ups-frontend.s3.amazonaws.com/media/docs/FPV-T200W_DS_SPA.pdf" TargetMode="External"/><Relationship Id="rId50" Type="http://schemas.openxmlformats.org/officeDocument/2006/relationships/hyperlink" Target="https://forza-ups-frontend.s3.amazonaws.com/media/docs/FPV-T100W_DS_SPA.pdf" TargetMode="External"/><Relationship Id="rId51" Type="http://schemas.openxmlformats.org/officeDocument/2006/relationships/hyperlink" Target="https://forza-ups-frontend.s3.amazonaws.com/media/docs/FPV-T060W_DS_SPA.pdf" TargetMode="External"/><Relationship Id="rId52" Type="http://schemas.openxmlformats.org/officeDocument/2006/relationships/hyperlink" Target="https://forza-ups-frontend.s3.amazonaws.com/media/docs/FVR-3601_DS_SPA.pdf" TargetMode="External"/><Relationship Id="rId53" Type="http://schemas.openxmlformats.org/officeDocument/2006/relationships/hyperlink" Target="https://forza-ups-frontend.s3.amazonaws.com/media/docs/FVP-1201B-SPA.pdf" TargetMode="External"/><Relationship Id="rId5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3" min="3" style="0" width="22"/>
    <col collapsed="false" customWidth="true" hidden="false" outlineLevel="0" max="4" min="4" style="0" width="16"/>
    <col collapsed="false" customWidth="true" hidden="false" outlineLevel="0" max="5" min="5" style="0" width="9"/>
    <col collapsed="false" customWidth="true" hidden="false" outlineLevel="0" max="6" min="6" style="0" width="13"/>
    <col collapsed="false" customWidth="true" hidden="false" outlineLevel="0" max="8" min="7" style="0" width="14"/>
    <col collapsed="false" customWidth="true" hidden="false" outlineLevel="0" max="9" min="9" style="0" width="60"/>
    <col collapsed="false" customWidth="true" hidden="false" outlineLevel="0" max="10" min="10" style="0" width="52"/>
    <col collapsed="false" customWidth="true" hidden="false" outlineLevel="0" max="11" min="11" style="0" width="46"/>
    <col collapsed="false" customWidth="true" hidden="false" outlineLevel="0" max="12" min="12" style="0" width="24"/>
  </cols>
  <sheetData>
    <row r="1" customFormat="false" ht="17.35" hidden="false" customHeight="false" outlineLevel="0" collapsed="false">
      <c r="A1" s="1" t="s">
        <v>0</v>
      </c>
    </row>
    <row r="3" customFormat="false" ht="15" hidden="false" customHeight="false" outlineLevel="0" collapsed="false">
      <c r="A3" s="2" t="s">
        <v>1</v>
      </c>
      <c r="E3" s="3" t="n">
        <v>3072.27</v>
      </c>
      <c r="F3" s="4" t="s">
        <v>2</v>
      </c>
    </row>
    <row r="4" customFormat="false" ht="30" hidden="false" customHeight="true" outlineLevel="0" collapsed="false">
      <c r="A4" s="5" t="s">
        <v>3</v>
      </c>
      <c r="B4" s="5"/>
      <c r="C4" s="5"/>
      <c r="D4" s="5"/>
      <c r="E4" s="5"/>
      <c r="F4" s="5"/>
      <c r="G4" s="5"/>
      <c r="H4" s="5"/>
      <c r="I4" s="5"/>
      <c r="J4" s="5"/>
      <c r="K4" s="5"/>
      <c r="L4" s="5"/>
    </row>
    <row r="6" customFormat="false" ht="30" hidden="false" customHeight="true" outlineLevel="0" collapsed="false">
      <c r="A6" s="6" t="s">
        <v>4</v>
      </c>
      <c r="B6" s="6" t="s">
        <v>5</v>
      </c>
      <c r="C6" s="6" t="s">
        <v>6</v>
      </c>
      <c r="D6" s="6" t="s">
        <v>7</v>
      </c>
      <c r="E6" s="6" t="s">
        <v>8</v>
      </c>
      <c r="F6" s="6" t="s">
        <v>9</v>
      </c>
      <c r="G6" s="6" t="s">
        <v>10</v>
      </c>
      <c r="H6" s="6" t="s">
        <v>11</v>
      </c>
      <c r="I6" s="6" t="s">
        <v>12</v>
      </c>
      <c r="J6" s="6" t="s">
        <v>13</v>
      </c>
      <c r="K6" s="6" t="s">
        <v>14</v>
      </c>
      <c r="L6" s="6" t="s">
        <v>15</v>
      </c>
    </row>
    <row r="7" customFormat="false" ht="45.75" hidden="false" customHeight="true" outlineLevel="0" collapsed="false">
      <c r="A7" s="7" t="n">
        <v>1</v>
      </c>
      <c r="B7" s="8" t="s">
        <v>16</v>
      </c>
      <c r="C7" s="7" t="s">
        <v>17</v>
      </c>
      <c r="D7" s="9" t="s">
        <v>18</v>
      </c>
      <c r="E7" s="10" t="n">
        <v>0</v>
      </c>
      <c r="F7" s="11" t="n">
        <v>1772.78684210526</v>
      </c>
      <c r="G7" s="12" t="s">
        <v>19</v>
      </c>
      <c r="H7" s="7" t="s">
        <v>20</v>
      </c>
      <c r="I7" s="13" t="s">
        <v>21</v>
      </c>
      <c r="J7" s="13" t="s">
        <v>22</v>
      </c>
      <c r="K7" s="13" t="s">
        <v>23</v>
      </c>
      <c r="L7" s="14" t="s">
        <v>24</v>
      </c>
    </row>
    <row r="8" customFormat="false" ht="45.75" hidden="false" customHeight="true" outlineLevel="0" collapsed="false">
      <c r="A8" s="7" t="n">
        <v>2</v>
      </c>
      <c r="B8" s="8" t="s">
        <v>25</v>
      </c>
      <c r="C8" s="7" t="s">
        <v>17</v>
      </c>
      <c r="D8" s="9" t="s">
        <v>26</v>
      </c>
      <c r="E8" s="10" t="n">
        <v>5</v>
      </c>
      <c r="F8" s="11" t="n">
        <v>1374.875</v>
      </c>
      <c r="G8" s="15" t="n">
        <f aca="false">ROUND(F8*1.2*1.19*$E$3,-2)</f>
        <v>6031900</v>
      </c>
      <c r="H8" s="7" t="s">
        <v>20</v>
      </c>
      <c r="I8" s="13" t="s">
        <v>27</v>
      </c>
      <c r="J8" s="13" t="s">
        <v>28</v>
      </c>
      <c r="K8" s="13" t="s">
        <v>29</v>
      </c>
      <c r="L8" s="14" t="s">
        <v>30</v>
      </c>
    </row>
    <row r="9" customFormat="false" ht="45.75" hidden="false" customHeight="true" outlineLevel="0" collapsed="false">
      <c r="A9" s="7" t="n">
        <v>3</v>
      </c>
      <c r="B9" s="8" t="s">
        <v>31</v>
      </c>
      <c r="C9" s="7" t="s">
        <v>17</v>
      </c>
      <c r="D9" s="9" t="s">
        <v>32</v>
      </c>
      <c r="E9" s="10" t="n">
        <v>4</v>
      </c>
      <c r="F9" s="11" t="n">
        <v>415.566666666667</v>
      </c>
      <c r="G9" s="15" t="n">
        <f aca="false">ROUND(F9*1.2*1.19*$E$3,-2)</f>
        <v>1823200</v>
      </c>
      <c r="H9" s="7" t="s">
        <v>20</v>
      </c>
      <c r="I9" s="16" t="s">
        <v>33</v>
      </c>
      <c r="J9" s="13" t="s">
        <v>34</v>
      </c>
      <c r="K9" s="13" t="s">
        <v>35</v>
      </c>
      <c r="L9" s="14" t="s">
        <v>36</v>
      </c>
    </row>
    <row r="10" customFormat="false" ht="45.75" hidden="false" customHeight="true" outlineLevel="0" collapsed="false">
      <c r="A10" s="7" t="n">
        <v>4</v>
      </c>
      <c r="B10" s="8" t="s">
        <v>37</v>
      </c>
      <c r="C10" s="7" t="s">
        <v>17</v>
      </c>
      <c r="D10" s="9" t="s">
        <v>38</v>
      </c>
      <c r="E10" s="10" t="n">
        <v>38</v>
      </c>
      <c r="F10" s="11" t="n">
        <v>154.566666666667</v>
      </c>
      <c r="G10" s="15" t="n">
        <f aca="false">ROUND(F10*1.2*1.19*$E$3,-2)</f>
        <v>678100</v>
      </c>
      <c r="H10" s="7" t="s">
        <v>20</v>
      </c>
      <c r="I10" s="13" t="s">
        <v>39</v>
      </c>
      <c r="J10" s="13" t="s">
        <v>40</v>
      </c>
      <c r="K10" s="13" t="s">
        <v>41</v>
      </c>
      <c r="L10" s="14" t="s">
        <v>42</v>
      </c>
    </row>
    <row r="11" customFormat="false" ht="45.75" hidden="false" customHeight="true" outlineLevel="0" collapsed="false">
      <c r="A11" s="7" t="n">
        <v>5</v>
      </c>
      <c r="B11" s="8" t="s">
        <v>43</v>
      </c>
      <c r="C11" s="7" t="s">
        <v>44</v>
      </c>
      <c r="D11" s="9" t="s">
        <v>45</v>
      </c>
      <c r="E11" s="10" t="n">
        <v>351</v>
      </c>
      <c r="F11" s="11" t="n">
        <v>177.05</v>
      </c>
      <c r="G11" s="15" t="n">
        <f aca="false">ROUND(F11*1.2*1.19*$E$3,-2)</f>
        <v>776800</v>
      </c>
      <c r="H11" s="7" t="s">
        <v>20</v>
      </c>
      <c r="I11" s="16" t="s">
        <v>46</v>
      </c>
      <c r="J11" s="13" t="s">
        <v>47</v>
      </c>
      <c r="K11" s="13" t="s">
        <v>48</v>
      </c>
      <c r="L11" s="14" t="s">
        <v>49</v>
      </c>
    </row>
    <row r="12" customFormat="false" ht="45.75" hidden="false" customHeight="true" outlineLevel="0" collapsed="false">
      <c r="A12" s="7" t="n">
        <v>6</v>
      </c>
      <c r="B12" s="8" t="s">
        <v>50</v>
      </c>
      <c r="C12" s="7" t="s">
        <v>44</v>
      </c>
      <c r="D12" s="9" t="s">
        <v>51</v>
      </c>
      <c r="E12" s="10" t="n">
        <v>269</v>
      </c>
      <c r="F12" s="11" t="n">
        <v>107.7625</v>
      </c>
      <c r="G12" s="15" t="n">
        <f aca="false">ROUND(F12*1.2*1.19*$E$3,-2)</f>
        <v>472800</v>
      </c>
      <c r="H12" s="7" t="s">
        <v>20</v>
      </c>
      <c r="I12" s="13" t="s">
        <v>52</v>
      </c>
      <c r="J12" s="13" t="s">
        <v>53</v>
      </c>
      <c r="K12" s="13" t="s">
        <v>54</v>
      </c>
      <c r="L12" s="14" t="s">
        <v>55</v>
      </c>
    </row>
    <row r="13" customFormat="false" ht="45.75" hidden="false" customHeight="true" outlineLevel="0" collapsed="false">
      <c r="A13" s="7" t="n">
        <v>7</v>
      </c>
      <c r="B13" s="8" t="s">
        <v>56</v>
      </c>
      <c r="C13" s="7" t="s">
        <v>57</v>
      </c>
      <c r="D13" s="9" t="s">
        <v>58</v>
      </c>
      <c r="E13" s="10" t="n">
        <v>298</v>
      </c>
      <c r="F13" s="11" t="n">
        <v>31.7625</v>
      </c>
      <c r="G13" s="15" t="n">
        <f aca="false">ROUND(F13*1.2*1.19*$E$3,-2)</f>
        <v>139300</v>
      </c>
      <c r="H13" s="7" t="s">
        <v>20</v>
      </c>
      <c r="I13" s="13" t="s">
        <v>59</v>
      </c>
      <c r="J13" s="13" t="s">
        <v>60</v>
      </c>
      <c r="K13" s="13" t="s">
        <v>61</v>
      </c>
      <c r="L13" s="14" t="s">
        <v>62</v>
      </c>
    </row>
    <row r="14" customFormat="false" ht="45.75" hidden="false" customHeight="true" outlineLevel="0" collapsed="false">
      <c r="A14" s="7" t="n">
        <v>8</v>
      </c>
      <c r="B14" s="8" t="s">
        <v>63</v>
      </c>
      <c r="C14" s="7" t="s">
        <v>57</v>
      </c>
      <c r="D14" s="9" t="s">
        <v>64</v>
      </c>
      <c r="E14" s="10" t="n">
        <v>447</v>
      </c>
      <c r="F14" s="11" t="n">
        <v>23.0625</v>
      </c>
      <c r="G14" s="15" t="n">
        <f aca="false">ROUND(F14*1.2*1.19*$E$3,-2)</f>
        <v>101200</v>
      </c>
      <c r="H14" s="7" t="s">
        <v>20</v>
      </c>
      <c r="I14" s="16" t="s">
        <v>65</v>
      </c>
      <c r="J14" s="13" t="s">
        <v>66</v>
      </c>
      <c r="K14" s="13" t="s">
        <v>67</v>
      </c>
      <c r="L14" s="14" t="s">
        <v>68</v>
      </c>
    </row>
    <row r="15" customFormat="false" ht="45.75" hidden="false" customHeight="true" outlineLevel="0" collapsed="false">
      <c r="A15" s="7" t="n">
        <v>9</v>
      </c>
      <c r="B15" s="8" t="s">
        <v>69</v>
      </c>
      <c r="C15" s="7" t="s">
        <v>57</v>
      </c>
      <c r="D15" s="9" t="s">
        <v>70</v>
      </c>
      <c r="E15" s="10" t="n">
        <v>1416</v>
      </c>
      <c r="F15" s="11" t="n">
        <v>16.5625</v>
      </c>
      <c r="G15" s="15" t="n">
        <f aca="false">ROUND(F15*1.2*1.19*$E$3,-2)</f>
        <v>72700</v>
      </c>
      <c r="H15" s="7" t="s">
        <v>20</v>
      </c>
      <c r="I15" s="13"/>
      <c r="J15" s="13" t="s">
        <v>71</v>
      </c>
      <c r="K15" s="13" t="s">
        <v>72</v>
      </c>
      <c r="L15" s="14" t="s">
        <v>73</v>
      </c>
    </row>
    <row r="16" customFormat="false" ht="45.75" hidden="false" customHeight="true" outlineLevel="0" collapsed="false">
      <c r="A16" s="7" t="n">
        <v>10</v>
      </c>
      <c r="B16" s="8" t="s">
        <v>74</v>
      </c>
      <c r="C16" s="7" t="s">
        <v>57</v>
      </c>
      <c r="D16" s="9" t="s">
        <v>75</v>
      </c>
      <c r="E16" s="10" t="n">
        <v>1814</v>
      </c>
      <c r="F16" s="11" t="n">
        <v>14.175</v>
      </c>
      <c r="G16" s="15" t="n">
        <f aca="false">ROUND(F16*1.2*1.19*$E$3,-2)</f>
        <v>62200</v>
      </c>
      <c r="H16" s="7" t="s">
        <v>20</v>
      </c>
      <c r="I16" s="13" t="s">
        <v>76</v>
      </c>
      <c r="J16" s="13" t="s">
        <v>77</v>
      </c>
      <c r="K16" s="13" t="s">
        <v>78</v>
      </c>
      <c r="L16" s="14" t="s">
        <v>79</v>
      </c>
    </row>
    <row r="17" customFormat="false" ht="45.75" hidden="false" customHeight="true" outlineLevel="0" collapsed="false">
      <c r="A17" s="7" t="n">
        <v>11</v>
      </c>
      <c r="B17" s="8" t="s">
        <v>80</v>
      </c>
      <c r="C17" s="7" t="s">
        <v>81</v>
      </c>
      <c r="D17" s="9" t="s">
        <v>82</v>
      </c>
      <c r="E17" s="10" t="n">
        <v>20</v>
      </c>
      <c r="F17" s="11" t="n">
        <v>12.375</v>
      </c>
      <c r="G17" s="15" t="n">
        <f aca="false">ROUND(F17*1.2*1.19*$E$3,-2)</f>
        <v>54300</v>
      </c>
      <c r="H17" s="7" t="s">
        <v>20</v>
      </c>
      <c r="I17" s="13"/>
      <c r="J17" s="13" t="s">
        <v>83</v>
      </c>
      <c r="K17" s="13" t="s">
        <v>84</v>
      </c>
      <c r="L17" s="14" t="s">
        <v>85</v>
      </c>
    </row>
    <row r="18" customFormat="false" ht="45.75" hidden="false" customHeight="true" outlineLevel="0" collapsed="false">
      <c r="A18" s="7" t="n">
        <v>12</v>
      </c>
      <c r="B18" s="8" t="s">
        <v>86</v>
      </c>
      <c r="C18" s="7" t="s">
        <v>57</v>
      </c>
      <c r="D18" s="9" t="s">
        <v>87</v>
      </c>
      <c r="E18" s="10" t="n">
        <v>1276</v>
      </c>
      <c r="F18" s="11" t="n">
        <v>11.9625</v>
      </c>
      <c r="G18" s="15" t="n">
        <f aca="false">ROUND(F18*1.2*1.19*$E$3,-2)</f>
        <v>52500</v>
      </c>
      <c r="H18" s="7" t="s">
        <v>20</v>
      </c>
      <c r="I18" s="13" t="s">
        <v>88</v>
      </c>
      <c r="J18" s="13" t="s">
        <v>89</v>
      </c>
      <c r="K18" s="13" t="s">
        <v>90</v>
      </c>
      <c r="L18" s="14" t="s">
        <v>79</v>
      </c>
    </row>
    <row r="19" customFormat="false" ht="45.75" hidden="false" customHeight="true" outlineLevel="0" collapsed="false">
      <c r="A19" s="7" t="n">
        <v>13</v>
      </c>
      <c r="B19" s="8" t="s">
        <v>91</v>
      </c>
      <c r="C19" s="7" t="s">
        <v>92</v>
      </c>
      <c r="D19" s="9" t="s">
        <v>93</v>
      </c>
      <c r="E19" s="10" t="n">
        <v>20</v>
      </c>
      <c r="F19" s="11" t="n">
        <v>9.8625</v>
      </c>
      <c r="G19" s="15" t="n">
        <f aca="false">ROUND(F19*1.2*1.19*$E$3,-2)</f>
        <v>43300</v>
      </c>
      <c r="H19" s="7" t="s">
        <v>20</v>
      </c>
      <c r="I19" s="13" t="s">
        <v>94</v>
      </c>
      <c r="J19" s="13" t="s">
        <v>95</v>
      </c>
      <c r="K19" s="13" t="s">
        <v>96</v>
      </c>
      <c r="L19" s="14" t="s">
        <v>97</v>
      </c>
    </row>
    <row r="20" customFormat="false" ht="45.75" hidden="false" customHeight="true" outlineLevel="0" collapsed="false">
      <c r="A20" s="7" t="n">
        <v>14</v>
      </c>
      <c r="B20" s="8" t="s">
        <v>98</v>
      </c>
      <c r="C20" s="7" t="s">
        <v>99</v>
      </c>
      <c r="D20" s="9" t="s">
        <v>100</v>
      </c>
      <c r="E20" s="10" t="n">
        <v>118</v>
      </c>
      <c r="F20" s="11" t="n">
        <v>9.1625</v>
      </c>
      <c r="G20" s="15" t="n">
        <f aca="false">ROUND(F20*1.2*1.19*$E$3,-2)</f>
        <v>40200</v>
      </c>
      <c r="H20" s="7" t="s">
        <v>20</v>
      </c>
      <c r="I20" s="16" t="s">
        <v>101</v>
      </c>
      <c r="J20" s="13" t="s">
        <v>102</v>
      </c>
      <c r="K20" s="13" t="s">
        <v>103</v>
      </c>
      <c r="L20" s="14" t="s">
        <v>104</v>
      </c>
    </row>
    <row r="21" customFormat="false" ht="45.75" hidden="false" customHeight="true" outlineLevel="0" collapsed="false">
      <c r="A21" s="7" t="n">
        <v>15</v>
      </c>
      <c r="B21" s="8" t="s">
        <v>105</v>
      </c>
      <c r="C21" s="7" t="s">
        <v>99</v>
      </c>
      <c r="D21" s="9" t="s">
        <v>106</v>
      </c>
      <c r="E21" s="10" t="n">
        <v>688</v>
      </c>
      <c r="F21" s="11" t="n">
        <v>7.7625</v>
      </c>
      <c r="G21" s="15" t="n">
        <f aca="false">ROUND(F21*1.2*1.19*$E$3,-2)</f>
        <v>34100</v>
      </c>
      <c r="H21" s="7" t="s">
        <v>20</v>
      </c>
      <c r="I21" s="16" t="s">
        <v>65</v>
      </c>
      <c r="J21" s="13" t="s">
        <v>107</v>
      </c>
      <c r="K21" s="13" t="s">
        <v>108</v>
      </c>
      <c r="L21" s="14" t="s">
        <v>109</v>
      </c>
    </row>
    <row r="22" customFormat="false" ht="45.75" hidden="false" customHeight="true" outlineLevel="0" collapsed="false">
      <c r="A22" s="7" t="n">
        <v>16</v>
      </c>
      <c r="B22" s="8" t="s">
        <v>110</v>
      </c>
      <c r="C22" s="7" t="s">
        <v>99</v>
      </c>
      <c r="D22" s="9" t="s">
        <v>111</v>
      </c>
      <c r="E22" s="10" t="n">
        <v>45</v>
      </c>
      <c r="F22" s="11" t="n">
        <v>7.525</v>
      </c>
      <c r="G22" s="15" t="n">
        <f aca="false">ROUND(F22*1.2*1.19*$E$3,-2)</f>
        <v>33000</v>
      </c>
      <c r="H22" s="7" t="s">
        <v>20</v>
      </c>
      <c r="I22" s="16" t="s">
        <v>101</v>
      </c>
      <c r="J22" s="13" t="s">
        <v>112</v>
      </c>
      <c r="K22" s="13" t="s">
        <v>113</v>
      </c>
      <c r="L22" s="14" t="s">
        <v>114</v>
      </c>
    </row>
    <row r="23" customFormat="false" ht="45.75" hidden="false" customHeight="true" outlineLevel="0" collapsed="false">
      <c r="A23" s="7" t="n">
        <v>17</v>
      </c>
      <c r="B23" s="8" t="s">
        <v>115</v>
      </c>
      <c r="C23" s="7" t="s">
        <v>92</v>
      </c>
      <c r="D23" s="9" t="s">
        <v>116</v>
      </c>
      <c r="E23" s="10" t="n">
        <v>2162</v>
      </c>
      <c r="F23" s="11" t="n">
        <v>4.3625</v>
      </c>
      <c r="G23" s="15" t="n">
        <f aca="false">ROUND(F23*1.2*1.19*$E$3,-2)</f>
        <v>19100</v>
      </c>
      <c r="H23" s="7" t="s">
        <v>20</v>
      </c>
      <c r="I23" s="13" t="s">
        <v>117</v>
      </c>
      <c r="J23" s="13" t="s">
        <v>118</v>
      </c>
      <c r="K23" s="13" t="s">
        <v>119</v>
      </c>
      <c r="L23" s="14" t="s">
        <v>120</v>
      </c>
    </row>
    <row r="24" customFormat="false" ht="45.75" hidden="false" customHeight="true" outlineLevel="0" collapsed="false">
      <c r="A24" s="17" t="n">
        <v>18</v>
      </c>
      <c r="B24" s="18" t="s">
        <v>121</v>
      </c>
      <c r="C24" s="17" t="s">
        <v>122</v>
      </c>
      <c r="D24" s="19" t="s">
        <v>123</v>
      </c>
      <c r="E24" s="20" t="n">
        <v>10</v>
      </c>
      <c r="F24" s="11" t="n">
        <v>8.6875</v>
      </c>
      <c r="G24" s="15" t="n">
        <f aca="false">ROUND(F24*1.2*1.19*$E$3,-2)</f>
        <v>38100</v>
      </c>
      <c r="H24" s="17" t="s">
        <v>124</v>
      </c>
      <c r="I24" s="16" t="s">
        <v>125</v>
      </c>
      <c r="J24" s="21" t="s">
        <v>126</v>
      </c>
      <c r="K24" s="21" t="s">
        <v>127</v>
      </c>
      <c r="L24" s="22" t="s">
        <v>128</v>
      </c>
    </row>
    <row r="25" customFormat="false" ht="45.75" hidden="false" customHeight="true" outlineLevel="0" collapsed="false">
      <c r="A25" s="17" t="n">
        <v>19</v>
      </c>
      <c r="B25" s="18" t="s">
        <v>129</v>
      </c>
      <c r="C25" s="17" t="s">
        <v>122</v>
      </c>
      <c r="D25" s="19" t="s">
        <v>130</v>
      </c>
      <c r="E25" s="20" t="n">
        <v>0</v>
      </c>
      <c r="F25" s="7"/>
      <c r="G25" s="12" t="s">
        <v>19</v>
      </c>
      <c r="H25" s="17" t="s">
        <v>124</v>
      </c>
      <c r="I25" s="13" t="s">
        <v>131</v>
      </c>
      <c r="J25" s="21" t="s">
        <v>132</v>
      </c>
      <c r="K25" s="21" t="s">
        <v>133</v>
      </c>
      <c r="L25" s="22" t="s">
        <v>134</v>
      </c>
    </row>
    <row r="26" customFormat="false" ht="45.75" hidden="false" customHeight="true" outlineLevel="0" collapsed="false">
      <c r="A26" s="17" t="n">
        <v>20</v>
      </c>
      <c r="B26" s="18" t="s">
        <v>135</v>
      </c>
      <c r="C26" s="17" t="s">
        <v>122</v>
      </c>
      <c r="D26" s="19" t="s">
        <v>136</v>
      </c>
      <c r="E26" s="20" t="n">
        <v>0</v>
      </c>
      <c r="F26" s="7"/>
      <c r="G26" s="12" t="s">
        <v>19</v>
      </c>
      <c r="H26" s="17" t="s">
        <v>124</v>
      </c>
      <c r="I26" s="16" t="s">
        <v>125</v>
      </c>
      <c r="J26" s="21" t="s">
        <v>137</v>
      </c>
      <c r="K26" s="21" t="s">
        <v>138</v>
      </c>
      <c r="L26" s="22" t="s">
        <v>139</v>
      </c>
    </row>
    <row r="27" customFormat="false" ht="45.75" hidden="false" customHeight="true" outlineLevel="0" collapsed="false">
      <c r="A27" s="17" t="n">
        <v>21</v>
      </c>
      <c r="B27" s="18" t="s">
        <v>140</v>
      </c>
      <c r="C27" s="17" t="s">
        <v>17</v>
      </c>
      <c r="D27" s="19" t="s">
        <v>141</v>
      </c>
      <c r="E27" s="20" t="n">
        <v>1</v>
      </c>
      <c r="F27" s="11" t="n">
        <v>4607.16666666667</v>
      </c>
      <c r="G27" s="15" t="n">
        <f aca="false">ROUND(F27*1.2*1.19*$E$3,-2)</f>
        <v>20212600</v>
      </c>
      <c r="H27" s="17" t="s">
        <v>124</v>
      </c>
      <c r="I27" s="13"/>
      <c r="J27" s="21"/>
      <c r="K27" s="21"/>
      <c r="L27" s="22" t="s">
        <v>142</v>
      </c>
    </row>
    <row r="28" customFormat="false" ht="45.75" hidden="false" customHeight="true" outlineLevel="0" collapsed="false">
      <c r="A28" s="17" t="n">
        <v>22</v>
      </c>
      <c r="B28" s="18" t="s">
        <v>143</v>
      </c>
      <c r="C28" s="17" t="s">
        <v>17</v>
      </c>
      <c r="D28" s="19" t="s">
        <v>144</v>
      </c>
      <c r="E28" s="20" t="n">
        <v>2</v>
      </c>
      <c r="F28" s="11" t="n">
        <v>2934.91111111111</v>
      </c>
      <c r="G28" s="15" t="n">
        <f aca="false">ROUND(F28*1.2*1.19*$E$3,-2)</f>
        <v>12876000</v>
      </c>
      <c r="H28" s="17" t="s">
        <v>124</v>
      </c>
      <c r="I28" s="13"/>
      <c r="J28" s="21"/>
      <c r="K28" s="21"/>
      <c r="L28" s="22" t="s">
        <v>145</v>
      </c>
    </row>
    <row r="29" customFormat="false" ht="45.75" hidden="false" customHeight="true" outlineLevel="0" collapsed="false">
      <c r="A29" s="17" t="n">
        <v>23</v>
      </c>
      <c r="B29" s="18" t="s">
        <v>146</v>
      </c>
      <c r="C29" s="17" t="s">
        <v>17</v>
      </c>
      <c r="D29" s="19" t="s">
        <v>147</v>
      </c>
      <c r="E29" s="20" t="n">
        <v>0</v>
      </c>
      <c r="F29" s="11" t="n">
        <v>1666.00894736842</v>
      </c>
      <c r="G29" s="12" t="s">
        <v>19</v>
      </c>
      <c r="H29" s="17" t="s">
        <v>124</v>
      </c>
      <c r="I29" s="13"/>
      <c r="J29" s="21" t="s">
        <v>148</v>
      </c>
      <c r="K29" s="21" t="s">
        <v>149</v>
      </c>
      <c r="L29" s="22" t="s">
        <v>150</v>
      </c>
    </row>
    <row r="30" customFormat="false" ht="45.75" hidden="false" customHeight="true" outlineLevel="0" collapsed="false">
      <c r="A30" s="17" t="n">
        <v>24</v>
      </c>
      <c r="B30" s="18" t="s">
        <v>151</v>
      </c>
      <c r="C30" s="17" t="s">
        <v>17</v>
      </c>
      <c r="D30" s="19" t="s">
        <v>152</v>
      </c>
      <c r="E30" s="20" t="n">
        <v>0</v>
      </c>
      <c r="F30" s="11" t="n">
        <v>293.137263157895</v>
      </c>
      <c r="G30" s="12" t="s">
        <v>19</v>
      </c>
      <c r="H30" s="17" t="s">
        <v>124</v>
      </c>
      <c r="I30" s="13"/>
      <c r="J30" s="21" t="s">
        <v>153</v>
      </c>
      <c r="K30" s="21" t="s">
        <v>154</v>
      </c>
      <c r="L30" s="22" t="s">
        <v>155</v>
      </c>
    </row>
    <row r="31" customFormat="false" ht="45.75" hidden="false" customHeight="true" outlineLevel="0" collapsed="false">
      <c r="A31" s="17" t="n">
        <v>25</v>
      </c>
      <c r="B31" s="18" t="s">
        <v>156</v>
      </c>
      <c r="C31" s="17" t="s">
        <v>157</v>
      </c>
      <c r="D31" s="19" t="s">
        <v>158</v>
      </c>
      <c r="E31" s="20" t="n">
        <v>22</v>
      </c>
      <c r="F31" s="11" t="n">
        <v>161.375</v>
      </c>
      <c r="G31" s="15" t="n">
        <f aca="false">ROUND(F31*1.2*1.19*$E$3,-2)</f>
        <v>708000</v>
      </c>
      <c r="H31" s="17" t="s">
        <v>124</v>
      </c>
      <c r="I31" s="16" t="s">
        <v>159</v>
      </c>
      <c r="J31" s="21" t="s">
        <v>160</v>
      </c>
      <c r="K31" s="21" t="s">
        <v>161</v>
      </c>
      <c r="L31" s="22" t="s">
        <v>162</v>
      </c>
    </row>
    <row r="32" customFormat="false" ht="45.75" hidden="false" customHeight="true" outlineLevel="0" collapsed="false">
      <c r="A32" s="17" t="n">
        <v>26</v>
      </c>
      <c r="B32" s="18" t="s">
        <v>163</v>
      </c>
      <c r="C32" s="17" t="s">
        <v>157</v>
      </c>
      <c r="D32" s="19" t="s">
        <v>164</v>
      </c>
      <c r="E32" s="20" t="n">
        <v>1</v>
      </c>
      <c r="F32" s="11" t="n">
        <v>149.922222222222</v>
      </c>
      <c r="G32" s="15" t="n">
        <f aca="false">ROUND(F32*1.2*1.19*$E$3,-2)</f>
        <v>657700</v>
      </c>
      <c r="H32" s="17" t="s">
        <v>124</v>
      </c>
      <c r="I32" s="16" t="s">
        <v>159</v>
      </c>
      <c r="J32" s="21" t="s">
        <v>165</v>
      </c>
      <c r="K32" s="21" t="s">
        <v>166</v>
      </c>
      <c r="L32" s="22" t="s">
        <v>167</v>
      </c>
    </row>
    <row r="33" customFormat="false" ht="45.75" hidden="false" customHeight="true" outlineLevel="0" collapsed="false">
      <c r="A33" s="17" t="n">
        <v>27</v>
      </c>
      <c r="B33" s="18" t="s">
        <v>168</v>
      </c>
      <c r="C33" s="17" t="s">
        <v>17</v>
      </c>
      <c r="D33" s="19" t="s">
        <v>169</v>
      </c>
      <c r="E33" s="20" t="n">
        <v>0</v>
      </c>
      <c r="F33" s="11" t="n">
        <v>147.631159265365</v>
      </c>
      <c r="G33" s="12" t="s">
        <v>19</v>
      </c>
      <c r="H33" s="17" t="s">
        <v>124</v>
      </c>
      <c r="I33" s="16" t="s">
        <v>65</v>
      </c>
      <c r="J33" s="21" t="s">
        <v>170</v>
      </c>
      <c r="K33" s="21" t="s">
        <v>171</v>
      </c>
      <c r="L33" s="22" t="s">
        <v>172</v>
      </c>
    </row>
    <row r="34" customFormat="false" ht="45.75" hidden="false" customHeight="true" outlineLevel="0" collapsed="false">
      <c r="A34" s="17" t="n">
        <v>28</v>
      </c>
      <c r="B34" s="18" t="s">
        <v>173</v>
      </c>
      <c r="C34" s="17" t="s">
        <v>157</v>
      </c>
      <c r="D34" s="19" t="s">
        <v>174</v>
      </c>
      <c r="E34" s="20" t="n">
        <v>140</v>
      </c>
      <c r="F34" s="11" t="n">
        <v>136.8375</v>
      </c>
      <c r="G34" s="15" t="n">
        <f aca="false">ROUND(F34*1.2*1.19*$E$3,-2)</f>
        <v>600300</v>
      </c>
      <c r="H34" s="17" t="s">
        <v>124</v>
      </c>
      <c r="I34" s="16" t="s">
        <v>175</v>
      </c>
      <c r="J34" s="21" t="s">
        <v>176</v>
      </c>
      <c r="K34" s="21" t="s">
        <v>177</v>
      </c>
      <c r="L34" s="22" t="s">
        <v>178</v>
      </c>
    </row>
    <row r="35" customFormat="false" ht="45.75" hidden="false" customHeight="true" outlineLevel="0" collapsed="false">
      <c r="A35" s="17" t="n">
        <v>29</v>
      </c>
      <c r="B35" s="18" t="s">
        <v>179</v>
      </c>
      <c r="C35" s="17" t="s">
        <v>157</v>
      </c>
      <c r="D35" s="19" t="s">
        <v>180</v>
      </c>
      <c r="E35" s="20" t="n">
        <v>0</v>
      </c>
      <c r="F35" s="11" t="n">
        <v>116</v>
      </c>
      <c r="G35" s="12" t="s">
        <v>19</v>
      </c>
      <c r="H35" s="17" t="s">
        <v>124</v>
      </c>
      <c r="I35" s="13" t="s">
        <v>181</v>
      </c>
      <c r="J35" s="21" t="s">
        <v>182</v>
      </c>
      <c r="K35" s="21" t="s">
        <v>183</v>
      </c>
      <c r="L35" s="22" t="s">
        <v>184</v>
      </c>
    </row>
    <row r="36" customFormat="false" ht="45.75" hidden="false" customHeight="true" outlineLevel="0" collapsed="false">
      <c r="A36" s="17" t="n">
        <v>30</v>
      </c>
      <c r="B36" s="18" t="s">
        <v>185</v>
      </c>
      <c r="C36" s="17" t="s">
        <v>157</v>
      </c>
      <c r="D36" s="19" t="s">
        <v>186</v>
      </c>
      <c r="E36" s="20" t="n">
        <v>7</v>
      </c>
      <c r="F36" s="11" t="n">
        <v>96.0375</v>
      </c>
      <c r="G36" s="15" t="n">
        <f aca="false">ROUND(F36*1.2*1.19*$E$3,-2)</f>
        <v>421300</v>
      </c>
      <c r="H36" s="17" t="s">
        <v>124</v>
      </c>
      <c r="I36" s="13" t="s">
        <v>187</v>
      </c>
      <c r="J36" s="21" t="s">
        <v>188</v>
      </c>
      <c r="K36" s="21" t="s">
        <v>189</v>
      </c>
      <c r="L36" s="22" t="s">
        <v>190</v>
      </c>
    </row>
    <row r="37" customFormat="false" ht="45.75" hidden="false" customHeight="true" outlineLevel="0" collapsed="false">
      <c r="A37" s="17" t="n">
        <v>31</v>
      </c>
      <c r="B37" s="18" t="s">
        <v>191</v>
      </c>
      <c r="C37" s="17" t="s">
        <v>157</v>
      </c>
      <c r="D37" s="19" t="s">
        <v>192</v>
      </c>
      <c r="E37" s="20" t="n">
        <v>4</v>
      </c>
      <c r="F37" s="11" t="n">
        <v>81.5888888888889</v>
      </c>
      <c r="G37" s="15" t="n">
        <f aca="false">ROUND(F37*1.2*1.19*$E$3,-2)</f>
        <v>357900</v>
      </c>
      <c r="H37" s="17" t="s">
        <v>124</v>
      </c>
      <c r="I37" s="16" t="s">
        <v>159</v>
      </c>
      <c r="J37" s="21" t="s">
        <v>193</v>
      </c>
      <c r="K37" s="21" t="s">
        <v>194</v>
      </c>
      <c r="L37" s="22" t="s">
        <v>195</v>
      </c>
    </row>
    <row r="38" customFormat="false" ht="45.75" hidden="false" customHeight="true" outlineLevel="0" collapsed="false">
      <c r="A38" s="17" t="n">
        <v>32</v>
      </c>
      <c r="B38" s="18" t="s">
        <v>196</v>
      </c>
      <c r="C38" s="17" t="s">
        <v>157</v>
      </c>
      <c r="D38" s="19" t="s">
        <v>197</v>
      </c>
      <c r="E38" s="20" t="n">
        <v>0</v>
      </c>
      <c r="F38" s="11" t="n">
        <v>55.2710973246821</v>
      </c>
      <c r="G38" s="12" t="s">
        <v>19</v>
      </c>
      <c r="H38" s="17" t="s">
        <v>124</v>
      </c>
      <c r="I38" s="13" t="s">
        <v>198</v>
      </c>
      <c r="J38" s="21" t="s">
        <v>199</v>
      </c>
      <c r="K38" s="21" t="s">
        <v>200</v>
      </c>
      <c r="L38" s="22" t="s">
        <v>201</v>
      </c>
    </row>
    <row r="39" customFormat="false" ht="45.75" hidden="false" customHeight="true" outlineLevel="0" collapsed="false">
      <c r="A39" s="17" t="n">
        <v>33</v>
      </c>
      <c r="B39" s="18" t="s">
        <v>202</v>
      </c>
      <c r="C39" s="17" t="s">
        <v>157</v>
      </c>
      <c r="D39" s="19" t="s">
        <v>203</v>
      </c>
      <c r="E39" s="20" t="n">
        <v>1566</v>
      </c>
      <c r="F39" s="11" t="n">
        <v>44.825</v>
      </c>
      <c r="G39" s="15" t="n">
        <f aca="false">ROUND(F39*1.2*1.19*$E$3,-2)</f>
        <v>196700</v>
      </c>
      <c r="H39" s="17" t="s">
        <v>124</v>
      </c>
      <c r="I39" s="16" t="s">
        <v>65</v>
      </c>
      <c r="J39" s="21" t="s">
        <v>204</v>
      </c>
      <c r="K39" s="21" t="s">
        <v>205</v>
      </c>
      <c r="L39" s="22" t="s">
        <v>206</v>
      </c>
    </row>
    <row r="40" customFormat="false" ht="45.75" hidden="false" customHeight="true" outlineLevel="0" collapsed="false">
      <c r="A40" s="17" t="n">
        <v>34</v>
      </c>
      <c r="B40" s="18" t="s">
        <v>207</v>
      </c>
      <c r="C40" s="17" t="s">
        <v>157</v>
      </c>
      <c r="D40" s="19" t="s">
        <v>208</v>
      </c>
      <c r="E40" s="20" t="n">
        <v>1543</v>
      </c>
      <c r="F40" s="11" t="n">
        <v>37.0625</v>
      </c>
      <c r="G40" s="15" t="n">
        <f aca="false">ROUND(F40*1.2*1.19*$E$3,-2)</f>
        <v>162600</v>
      </c>
      <c r="H40" s="17" t="s">
        <v>124</v>
      </c>
      <c r="I40" s="16" t="s">
        <v>209</v>
      </c>
      <c r="J40" s="21" t="s">
        <v>210</v>
      </c>
      <c r="K40" s="21" t="s">
        <v>211</v>
      </c>
      <c r="L40" s="22" t="s">
        <v>212</v>
      </c>
    </row>
    <row r="41" customFormat="false" ht="45.75" hidden="false" customHeight="true" outlineLevel="0" collapsed="false">
      <c r="A41" s="17" t="n">
        <v>35</v>
      </c>
      <c r="B41" s="18" t="s">
        <v>213</v>
      </c>
      <c r="C41" s="17" t="s">
        <v>157</v>
      </c>
      <c r="D41" s="19" t="s">
        <v>214</v>
      </c>
      <c r="E41" s="20" t="n">
        <v>370</v>
      </c>
      <c r="F41" s="11" t="n">
        <v>33.525</v>
      </c>
      <c r="G41" s="15" t="n">
        <f aca="false">ROUND(F41*1.2*1.19*$E$3,-2)</f>
        <v>147100</v>
      </c>
      <c r="H41" s="17" t="s">
        <v>124</v>
      </c>
      <c r="I41" s="13" t="s">
        <v>215</v>
      </c>
      <c r="J41" s="21" t="s">
        <v>216</v>
      </c>
      <c r="K41" s="21" t="s">
        <v>217</v>
      </c>
      <c r="L41" s="22" t="s">
        <v>218</v>
      </c>
    </row>
    <row r="42" customFormat="false" ht="45.75" hidden="false" customHeight="true" outlineLevel="0" collapsed="false">
      <c r="A42" s="17" t="n">
        <v>36</v>
      </c>
      <c r="B42" s="18" t="s">
        <v>219</v>
      </c>
      <c r="C42" s="17" t="s">
        <v>157</v>
      </c>
      <c r="D42" s="19" t="s">
        <v>220</v>
      </c>
      <c r="E42" s="20" t="n">
        <v>1058</v>
      </c>
      <c r="F42" s="11" t="n">
        <v>33.0625</v>
      </c>
      <c r="G42" s="15" t="n">
        <f aca="false">ROUND(F42*1.2*1.19*$E$3,-2)</f>
        <v>145100</v>
      </c>
      <c r="H42" s="17" t="s">
        <v>124</v>
      </c>
      <c r="I42" s="16" t="s">
        <v>33</v>
      </c>
      <c r="J42" s="21" t="s">
        <v>221</v>
      </c>
      <c r="K42" s="21" t="s">
        <v>222</v>
      </c>
      <c r="L42" s="22" t="s">
        <v>223</v>
      </c>
    </row>
    <row r="43" customFormat="false" ht="45.75" hidden="false" customHeight="true" outlineLevel="0" collapsed="false">
      <c r="A43" s="17" t="n">
        <v>37</v>
      </c>
      <c r="B43" s="18" t="s">
        <v>224</v>
      </c>
      <c r="C43" s="17" t="s">
        <v>157</v>
      </c>
      <c r="D43" s="19" t="s">
        <v>225</v>
      </c>
      <c r="E43" s="20" t="n">
        <v>1724</v>
      </c>
      <c r="F43" s="11" t="n">
        <v>29.6</v>
      </c>
      <c r="G43" s="15" t="n">
        <f aca="false">ROUND(F43*1.2*1.19*$E$3,-2)</f>
        <v>129900</v>
      </c>
      <c r="H43" s="17" t="s">
        <v>124</v>
      </c>
      <c r="I43" s="16" t="s">
        <v>209</v>
      </c>
      <c r="J43" s="21" t="s">
        <v>226</v>
      </c>
      <c r="K43" s="21" t="s">
        <v>227</v>
      </c>
      <c r="L43" s="22" t="s">
        <v>228</v>
      </c>
    </row>
    <row r="44" customFormat="false" ht="45.75" hidden="false" customHeight="true" outlineLevel="0" collapsed="false">
      <c r="A44" s="17" t="n">
        <v>38</v>
      </c>
      <c r="B44" s="18" t="s">
        <v>229</v>
      </c>
      <c r="C44" s="17" t="s">
        <v>157</v>
      </c>
      <c r="D44" s="19" t="s">
        <v>230</v>
      </c>
      <c r="E44" s="20" t="n">
        <v>240</v>
      </c>
      <c r="F44" s="11" t="n">
        <v>29.25</v>
      </c>
      <c r="G44" s="15" t="n">
        <f aca="false">ROUND(F44*1.2*1.19*$E$3,-2)</f>
        <v>128300</v>
      </c>
      <c r="H44" s="17" t="s">
        <v>124</v>
      </c>
      <c r="I44" s="16" t="s">
        <v>209</v>
      </c>
      <c r="J44" s="21" t="s">
        <v>231</v>
      </c>
      <c r="K44" s="21" t="s">
        <v>232</v>
      </c>
      <c r="L44" s="22" t="s">
        <v>233</v>
      </c>
    </row>
    <row r="45" customFormat="false" ht="45.75" hidden="false" customHeight="true" outlineLevel="0" collapsed="false">
      <c r="A45" s="17" t="n">
        <v>39</v>
      </c>
      <c r="B45" s="18" t="s">
        <v>234</v>
      </c>
      <c r="C45" s="17" t="s">
        <v>235</v>
      </c>
      <c r="D45" s="19" t="s">
        <v>236</v>
      </c>
      <c r="E45" s="20" t="n">
        <v>0</v>
      </c>
      <c r="F45" s="11" t="n">
        <v>17.5375</v>
      </c>
      <c r="G45" s="12" t="s">
        <v>19</v>
      </c>
      <c r="H45" s="17" t="s">
        <v>124</v>
      </c>
      <c r="I45" s="13" t="s">
        <v>237</v>
      </c>
      <c r="J45" s="21" t="s">
        <v>238</v>
      </c>
      <c r="K45" s="21" t="s">
        <v>239</v>
      </c>
      <c r="L45" s="22" t="s">
        <v>240</v>
      </c>
    </row>
    <row r="46" customFormat="false" ht="45.75" hidden="false" customHeight="true" outlineLevel="0" collapsed="false">
      <c r="A46" s="17" t="n">
        <v>40</v>
      </c>
      <c r="B46" s="18" t="s">
        <v>241</v>
      </c>
      <c r="C46" s="17" t="s">
        <v>157</v>
      </c>
      <c r="D46" s="19" t="s">
        <v>242</v>
      </c>
      <c r="E46" s="20" t="n">
        <v>0</v>
      </c>
      <c r="F46" s="7"/>
      <c r="G46" s="12" t="s">
        <v>19</v>
      </c>
      <c r="H46" s="17" t="s">
        <v>124</v>
      </c>
      <c r="I46" s="16" t="s">
        <v>175</v>
      </c>
      <c r="J46" s="21" t="s">
        <v>243</v>
      </c>
      <c r="K46" s="21" t="s">
        <v>244</v>
      </c>
      <c r="L46" s="22" t="s">
        <v>245</v>
      </c>
    </row>
    <row r="47" customFormat="false" ht="45.75" hidden="false" customHeight="true" outlineLevel="0" collapsed="false">
      <c r="A47" s="17" t="n">
        <v>41</v>
      </c>
      <c r="B47" s="18" t="s">
        <v>246</v>
      </c>
      <c r="C47" s="17" t="s">
        <v>157</v>
      </c>
      <c r="D47" s="19" t="s">
        <v>247</v>
      </c>
      <c r="E47" s="20" t="n">
        <v>0</v>
      </c>
      <c r="F47" s="7"/>
      <c r="G47" s="12" t="s">
        <v>19</v>
      </c>
      <c r="H47" s="17" t="s">
        <v>124</v>
      </c>
      <c r="I47" s="13" t="s">
        <v>248</v>
      </c>
      <c r="J47" s="21" t="s">
        <v>249</v>
      </c>
      <c r="K47" s="21" t="s">
        <v>250</v>
      </c>
      <c r="L47" s="22" t="s">
        <v>251</v>
      </c>
    </row>
    <row r="48" customFormat="false" ht="45.75" hidden="false" customHeight="true" outlineLevel="0" collapsed="false">
      <c r="A48" s="17" t="n">
        <v>42</v>
      </c>
      <c r="B48" s="18" t="s">
        <v>252</v>
      </c>
      <c r="C48" s="17" t="s">
        <v>253</v>
      </c>
      <c r="D48" s="19" t="s">
        <v>254</v>
      </c>
      <c r="E48" s="20" t="n">
        <v>7</v>
      </c>
      <c r="F48" s="7"/>
      <c r="G48" s="12" t="s">
        <v>255</v>
      </c>
      <c r="H48" s="17" t="s">
        <v>124</v>
      </c>
      <c r="I48" s="13" t="s">
        <v>256</v>
      </c>
      <c r="J48" s="21" t="s">
        <v>257</v>
      </c>
      <c r="K48" s="21" t="s">
        <v>258</v>
      </c>
      <c r="L48" s="22" t="s">
        <v>259</v>
      </c>
    </row>
    <row r="49" customFormat="false" ht="45.75" hidden="false" customHeight="true" outlineLevel="0" collapsed="false">
      <c r="A49" s="17" t="n">
        <v>43</v>
      </c>
      <c r="B49" s="18" t="s">
        <v>260</v>
      </c>
      <c r="C49" s="17" t="s">
        <v>17</v>
      </c>
      <c r="D49" s="19" t="s">
        <v>261</v>
      </c>
      <c r="E49" s="20" t="n">
        <v>2</v>
      </c>
      <c r="F49" s="7"/>
      <c r="G49" s="12" t="s">
        <v>255</v>
      </c>
      <c r="H49" s="17" t="s">
        <v>124</v>
      </c>
      <c r="I49" s="13" t="s">
        <v>262</v>
      </c>
      <c r="J49" s="21" t="s">
        <v>263</v>
      </c>
      <c r="K49" s="21" t="s">
        <v>264</v>
      </c>
      <c r="L49" s="22" t="s">
        <v>265</v>
      </c>
    </row>
    <row r="50" customFormat="false" ht="45.75" hidden="false" customHeight="true" outlineLevel="0" collapsed="false">
      <c r="A50" s="17" t="n">
        <v>44</v>
      </c>
      <c r="B50" s="18" t="s">
        <v>266</v>
      </c>
      <c r="C50" s="17" t="s">
        <v>17</v>
      </c>
      <c r="D50" s="19" t="s">
        <v>267</v>
      </c>
      <c r="E50" s="20" t="n">
        <v>3</v>
      </c>
      <c r="F50" s="7"/>
      <c r="G50" s="12" t="s">
        <v>255</v>
      </c>
      <c r="H50" s="17" t="s">
        <v>124</v>
      </c>
      <c r="I50" s="16" t="s">
        <v>65</v>
      </c>
      <c r="J50" s="21" t="s">
        <v>268</v>
      </c>
      <c r="K50" s="21" t="s">
        <v>269</v>
      </c>
      <c r="L50" s="22" t="s">
        <v>270</v>
      </c>
    </row>
    <row r="51" customFormat="false" ht="45.75" hidden="false" customHeight="true" outlineLevel="0" collapsed="false">
      <c r="A51" s="17" t="n">
        <v>45</v>
      </c>
      <c r="B51" s="18" t="s">
        <v>271</v>
      </c>
      <c r="C51" s="17" t="s">
        <v>17</v>
      </c>
      <c r="D51" s="19" t="s">
        <v>272</v>
      </c>
      <c r="E51" s="20" t="n">
        <v>2</v>
      </c>
      <c r="F51" s="7"/>
      <c r="G51" s="12" t="s">
        <v>255</v>
      </c>
      <c r="H51" s="17" t="s">
        <v>124</v>
      </c>
      <c r="I51" s="13"/>
      <c r="J51" s="21" t="s">
        <v>273</v>
      </c>
      <c r="K51" s="21" t="s">
        <v>274</v>
      </c>
      <c r="L51" s="22" t="s">
        <v>275</v>
      </c>
    </row>
    <row r="52" customFormat="false" ht="45.75" hidden="false" customHeight="true" outlineLevel="0" collapsed="false">
      <c r="A52" s="17" t="n">
        <v>46</v>
      </c>
      <c r="B52" s="18" t="s">
        <v>276</v>
      </c>
      <c r="C52" s="17" t="s">
        <v>17</v>
      </c>
      <c r="D52" s="19" t="s">
        <v>277</v>
      </c>
      <c r="E52" s="20" t="n">
        <v>2</v>
      </c>
      <c r="F52" s="7"/>
      <c r="G52" s="12" t="s">
        <v>255</v>
      </c>
      <c r="H52" s="17" t="s">
        <v>124</v>
      </c>
      <c r="I52" s="13"/>
      <c r="J52" s="21"/>
      <c r="K52" s="21"/>
      <c r="L52" s="22" t="s">
        <v>145</v>
      </c>
    </row>
    <row r="53" customFormat="false" ht="45.75" hidden="false" customHeight="true" outlineLevel="0" collapsed="false">
      <c r="A53" s="17" t="n">
        <v>47</v>
      </c>
      <c r="B53" s="18" t="s">
        <v>278</v>
      </c>
      <c r="C53" s="17" t="s">
        <v>44</v>
      </c>
      <c r="D53" s="19" t="s">
        <v>279</v>
      </c>
      <c r="E53" s="20" t="n">
        <v>50</v>
      </c>
      <c r="F53" s="11" t="n">
        <v>475.5375</v>
      </c>
      <c r="G53" s="15" t="n">
        <f aca="false">ROUND(F53*1.2*1.19*$E$3,-2)</f>
        <v>2086300</v>
      </c>
      <c r="H53" s="17" t="s">
        <v>124</v>
      </c>
      <c r="I53" s="13" t="s">
        <v>280</v>
      </c>
      <c r="J53" s="21" t="s">
        <v>281</v>
      </c>
      <c r="K53" s="21" t="s">
        <v>282</v>
      </c>
      <c r="L53" s="22" t="s">
        <v>283</v>
      </c>
    </row>
    <row r="54" customFormat="false" ht="45.75" hidden="false" customHeight="true" outlineLevel="0" collapsed="false">
      <c r="A54" s="17" t="n">
        <v>48</v>
      </c>
      <c r="B54" s="18" t="s">
        <v>284</v>
      </c>
      <c r="C54" s="17" t="s">
        <v>44</v>
      </c>
      <c r="D54" s="19" t="s">
        <v>285</v>
      </c>
      <c r="E54" s="20" t="n">
        <v>167</v>
      </c>
      <c r="F54" s="11" t="n">
        <v>308.2875</v>
      </c>
      <c r="G54" s="15" t="n">
        <f aca="false">ROUND(F54*1.2*1.19*$E$3,-2)</f>
        <v>1352500</v>
      </c>
      <c r="H54" s="17" t="s">
        <v>124</v>
      </c>
      <c r="I54" s="16" t="s">
        <v>46</v>
      </c>
      <c r="J54" s="21" t="s">
        <v>286</v>
      </c>
      <c r="K54" s="21" t="s">
        <v>287</v>
      </c>
      <c r="L54" s="22" t="s">
        <v>288</v>
      </c>
    </row>
    <row r="55" customFormat="false" ht="45.75" hidden="false" customHeight="true" outlineLevel="0" collapsed="false">
      <c r="A55" s="17" t="n">
        <v>49</v>
      </c>
      <c r="B55" s="18" t="s">
        <v>289</v>
      </c>
      <c r="C55" s="17" t="s">
        <v>290</v>
      </c>
      <c r="D55" s="19" t="s">
        <v>291</v>
      </c>
      <c r="E55" s="20" t="n">
        <v>4</v>
      </c>
      <c r="F55" s="11" t="n">
        <v>263.95</v>
      </c>
      <c r="G55" s="15" t="n">
        <f aca="false">ROUND(F55*1.2*1.19*$E$3,-2)</f>
        <v>1158000</v>
      </c>
      <c r="H55" s="17" t="s">
        <v>124</v>
      </c>
      <c r="I55" s="13" t="s">
        <v>292</v>
      </c>
      <c r="J55" s="21" t="s">
        <v>293</v>
      </c>
      <c r="K55" s="21" t="s">
        <v>294</v>
      </c>
      <c r="L55" s="22" t="s">
        <v>295</v>
      </c>
    </row>
    <row r="56" customFormat="false" ht="45.75" hidden="false" customHeight="true" outlineLevel="0" collapsed="false">
      <c r="A56" s="17" t="n">
        <v>50</v>
      </c>
      <c r="B56" s="18" t="s">
        <v>296</v>
      </c>
      <c r="C56" s="17" t="s">
        <v>290</v>
      </c>
      <c r="D56" s="19" t="s">
        <v>297</v>
      </c>
      <c r="E56" s="20" t="n">
        <v>20</v>
      </c>
      <c r="F56" s="11" t="n">
        <v>152.225</v>
      </c>
      <c r="G56" s="15" t="n">
        <f aca="false">ROUND(F56*1.2*1.19*$E$3,-2)</f>
        <v>667800</v>
      </c>
      <c r="H56" s="17" t="s">
        <v>124</v>
      </c>
      <c r="I56" s="13" t="s">
        <v>298</v>
      </c>
      <c r="J56" s="21" t="s">
        <v>299</v>
      </c>
      <c r="K56" s="21" t="s">
        <v>300</v>
      </c>
      <c r="L56" s="22" t="s">
        <v>301</v>
      </c>
    </row>
    <row r="57" customFormat="false" ht="45.75" hidden="false" customHeight="true" outlineLevel="0" collapsed="false">
      <c r="A57" s="17" t="n">
        <v>51</v>
      </c>
      <c r="B57" s="18" t="s">
        <v>302</v>
      </c>
      <c r="C57" s="17" t="s">
        <v>290</v>
      </c>
      <c r="D57" s="19" t="s">
        <v>303</v>
      </c>
      <c r="E57" s="20" t="n">
        <v>20</v>
      </c>
      <c r="F57" s="11" t="n">
        <v>109.25</v>
      </c>
      <c r="G57" s="15" t="n">
        <f aca="false">ROUND(F57*1.2*1.19*$E$3,-2)</f>
        <v>479300</v>
      </c>
      <c r="H57" s="17" t="s">
        <v>124</v>
      </c>
      <c r="I57" s="13" t="s">
        <v>304</v>
      </c>
      <c r="J57" s="21" t="s">
        <v>305</v>
      </c>
      <c r="K57" s="21" t="s">
        <v>306</v>
      </c>
      <c r="L57" s="22" t="s">
        <v>307</v>
      </c>
    </row>
    <row r="58" customFormat="false" ht="45.75" hidden="false" customHeight="true" outlineLevel="0" collapsed="false">
      <c r="A58" s="17" t="n">
        <v>52</v>
      </c>
      <c r="B58" s="18" t="s">
        <v>308</v>
      </c>
      <c r="C58" s="17" t="s">
        <v>57</v>
      </c>
      <c r="D58" s="19" t="s">
        <v>309</v>
      </c>
      <c r="E58" s="20" t="n">
        <v>76</v>
      </c>
      <c r="F58" s="11" t="n">
        <v>75.95</v>
      </c>
      <c r="G58" s="15" t="n">
        <f aca="false">ROUND(F58*1.2*1.19*$E$3,-2)</f>
        <v>333200</v>
      </c>
      <c r="H58" s="17" t="s">
        <v>124</v>
      </c>
      <c r="I58" s="13" t="s">
        <v>310</v>
      </c>
      <c r="J58" s="21" t="s">
        <v>311</v>
      </c>
      <c r="K58" s="21" t="s">
        <v>312</v>
      </c>
      <c r="L58" s="22" t="s">
        <v>313</v>
      </c>
    </row>
    <row r="59" customFormat="false" ht="45.75" hidden="false" customHeight="true" outlineLevel="0" collapsed="false">
      <c r="A59" s="17" t="n">
        <v>53</v>
      </c>
      <c r="B59" s="18" t="s">
        <v>314</v>
      </c>
      <c r="C59" s="17" t="s">
        <v>99</v>
      </c>
      <c r="D59" s="19" t="s">
        <v>315</v>
      </c>
      <c r="E59" s="20" t="n">
        <v>213</v>
      </c>
      <c r="F59" s="11" t="n">
        <v>22.575</v>
      </c>
      <c r="G59" s="15" t="n">
        <f aca="false">ROUND(F59*1.2*1.19*$E$3,-2)</f>
        <v>99000</v>
      </c>
      <c r="H59" s="17" t="s">
        <v>124</v>
      </c>
      <c r="I59" s="16" t="s">
        <v>65</v>
      </c>
      <c r="J59" s="21" t="s">
        <v>107</v>
      </c>
      <c r="K59" s="21" t="s">
        <v>108</v>
      </c>
      <c r="L59" s="22" t="s">
        <v>109</v>
      </c>
    </row>
    <row r="61" customFormat="false" ht="15.75" hidden="false" customHeight="true" outlineLevel="0" collapsed="false">
      <c r="A61" s="23" t="s">
        <v>316</v>
      </c>
      <c r="B61" s="23"/>
      <c r="C61" s="23"/>
      <c r="D61" s="23"/>
      <c r="E61" s="23"/>
      <c r="F61" s="23"/>
      <c r="G61" s="23"/>
      <c r="H61" s="23"/>
      <c r="I61" s="23"/>
      <c r="J61" s="23"/>
      <c r="K61" s="23"/>
      <c r="L61" s="23"/>
    </row>
    <row r="62" customFormat="false" ht="25.5" hidden="false" customHeight="true" outlineLevel="0" collapsed="false">
      <c r="A62" s="24" t="s">
        <v>317</v>
      </c>
      <c r="B62" s="24"/>
      <c r="C62" s="24"/>
      <c r="D62" s="24"/>
      <c r="E62" s="24"/>
      <c r="F62" s="24"/>
      <c r="G62" s="24"/>
      <c r="H62" s="24"/>
      <c r="I62" s="24"/>
      <c r="J62" s="24"/>
      <c r="K62" s="24"/>
      <c r="L62" s="24"/>
    </row>
    <row r="63" customFormat="false" ht="25.5" hidden="false" customHeight="true" outlineLevel="0" collapsed="false">
      <c r="A63" s="24" t="s">
        <v>318</v>
      </c>
      <c r="B63" s="24"/>
      <c r="C63" s="24"/>
      <c r="D63" s="24"/>
      <c r="E63" s="24"/>
      <c r="F63" s="24"/>
      <c r="G63" s="24"/>
      <c r="H63" s="24"/>
      <c r="I63" s="24"/>
      <c r="J63" s="24"/>
      <c r="K63" s="24"/>
      <c r="L63" s="24"/>
    </row>
    <row r="64" customFormat="false" ht="25.5" hidden="false" customHeight="true" outlineLevel="0" collapsed="false">
      <c r="A64" s="24" t="s">
        <v>319</v>
      </c>
      <c r="B64" s="24"/>
      <c r="C64" s="24"/>
      <c r="D64" s="24"/>
      <c r="E64" s="24"/>
      <c r="F64" s="24"/>
      <c r="G64" s="24"/>
      <c r="H64" s="24"/>
      <c r="I64" s="24"/>
      <c r="J64" s="24"/>
      <c r="K64" s="24"/>
      <c r="L64" s="24"/>
    </row>
    <row r="65" customFormat="false" ht="25.5" hidden="false" customHeight="true" outlineLevel="0" collapsed="false">
      <c r="A65" s="24" t="s">
        <v>320</v>
      </c>
      <c r="B65" s="24"/>
      <c r="C65" s="24"/>
      <c r="D65" s="24"/>
      <c r="E65" s="24"/>
      <c r="F65" s="24"/>
      <c r="G65" s="24"/>
      <c r="H65" s="24"/>
      <c r="I65" s="24"/>
      <c r="J65" s="24"/>
      <c r="K65" s="24"/>
      <c r="L65" s="24"/>
    </row>
    <row r="66" customFormat="false" ht="25.5" hidden="false" customHeight="true" outlineLevel="0" collapsed="false">
      <c r="A66" s="24" t="s">
        <v>321</v>
      </c>
      <c r="B66" s="24"/>
      <c r="C66" s="24"/>
      <c r="D66" s="24"/>
      <c r="E66" s="24"/>
      <c r="F66" s="24"/>
      <c r="G66" s="24"/>
      <c r="H66" s="24"/>
      <c r="I66" s="24"/>
      <c r="J66" s="24"/>
      <c r="K66" s="24"/>
      <c r="L66" s="24"/>
    </row>
  </sheetData>
  <autoFilter ref="A6:L59"/>
  <mergeCells count="7">
    <mergeCell ref="A4:L4"/>
    <mergeCell ref="A61:L61"/>
    <mergeCell ref="A62:L62"/>
    <mergeCell ref="A63:L63"/>
    <mergeCell ref="A64:L64"/>
    <mergeCell ref="A65:L65"/>
    <mergeCell ref="A66:L66"/>
  </mergeCells>
  <hyperlinks>
    <hyperlink ref="L7" r:id="rId1" display="FDC-110K-SPA.pdf"/>
    <hyperlink ref="L8" r:id="rId2" display="FDC-106K-SPA.pdf"/>
    <hyperlink ref="L9" r:id="rId3" display="FDC-103K-SPA.pdf"/>
    <hyperlink ref="L10" r:id="rId4" display="fdc-1000t_ds_spa.pdf"/>
    <hyperlink ref="L11" r:id="rId5" display="FPP-T300_DS_SPA.pdf"/>
    <hyperlink ref="L12" r:id="rId6" display="FPP-T100_DS_SPA.pdf"/>
    <hyperlink ref="L13" r:id="rId7" display="fvr-3001-ds_spa.pdf"/>
    <hyperlink ref="L14" r:id="rId8" display="fvr-2201_ds_spa.pdf"/>
    <hyperlink ref="L15" r:id="rId9" display="FVR-1221USB_FVR-1222USB_DS-SPA.pdf"/>
    <hyperlink ref="L16" r:id="rId10" display="FVR-1011_FVR-1011USB_DS_SPA.pdf"/>
    <hyperlink ref="L17" r:id="rId11" display="FSP-612USBW-SPA.pdf"/>
    <hyperlink ref="L18" r:id="rId12" display="FVR-1011_FVR-1011USB_DS_SPA.pdf"/>
    <hyperlink ref="L19" r:id="rId13" display="PS-1006B-SPA.pdf"/>
    <hyperlink ref="L20" r:id="rId14" display="FVP-0200C-SPA.pdf"/>
    <hyperlink ref="L21" r:id="rId15" display="FVP-1201B-SPA.pdf"/>
    <hyperlink ref="L22" r:id="rId16" display="FVP-1201N-SPA.pdf"/>
    <hyperlink ref="L23" r:id="rId17" display="PS-611UL-SPA.PDF"/>
    <hyperlink ref="L24" r:id="rId18" display="FUB-1245-SPA.pdf"/>
    <hyperlink ref="L25" r:id="rId19" display="FUB-1270_DS_SPA.pdf"/>
    <hyperlink ref="L26" r:id="rId20" display="FUB-1290-SPA.pdf"/>
    <hyperlink ref="L27" r:id="rId21" display="FTP-220KM-DS_SPA.pdf"/>
    <hyperlink ref="L28" r:id="rId22" display="FTP-2xxK_DS_SPA.pdf"/>
    <hyperlink ref="L29" r:id="rId23" display="FDC-106KMR-ISO-SPA.pdf"/>
    <hyperlink ref="L30" r:id="rId24" display="fdc-2000t-ds_spa.pdf"/>
    <hyperlink ref="L31" r:id="rId25" display="FX-2200LCD-(Giga)-SPA.pdf"/>
    <hyperlink ref="L32" r:id="rId26" display="SL-2001UL_SPA.pdf"/>
    <hyperlink ref="L33" r:id="rId27" display="FDC-RT1000VA-SPA.pdf"/>
    <hyperlink ref="L34" r:id="rId28" display="NT-2401PRO_DS_SPA.pdf"/>
    <hyperlink ref="L35" r:id="rId29" display="FX-1500LCD%20(Giga)-SPA.pdf"/>
    <hyperlink ref="L36" r:id="rId30" display="ht-1000lcd_ds_spa.pdf"/>
    <hyperlink ref="L37" r:id="rId31" display="SL-1011UL_DS_SPA.pdf"/>
    <hyperlink ref="L38" r:id="rId32" display="SL-801UL-SPA.pdf"/>
    <hyperlink ref="L39" r:id="rId33" display="NT-1011-SPA.pdf"/>
    <hyperlink ref="L40" r:id="rId34" display="BT-1001-SPA.pdf"/>
    <hyperlink ref="L41" r:id="rId35" display="NT-751-SPA.pdf"/>
    <hyperlink ref="L42" r:id="rId36" display="NT-511-SPA.pdf"/>
    <hyperlink ref="L43" r:id="rId37" display="BT-601-SPA.pdf"/>
    <hyperlink ref="L44" r:id="rId38" display="BT-751-SPA.pdf"/>
    <hyperlink ref="L45" r:id="rId39" display="DC-140USB-SPA.pdf"/>
    <hyperlink ref="L46" r:id="rId40" display="NT-1801PRO_DS_SPA.pdf"/>
    <hyperlink ref="L47" r:id="rId41" display="ht-650lcd_ds_spa.pdf"/>
    <hyperlink ref="L48" r:id="rId42" display="FDC-CD610-SPA.pdf"/>
    <hyperlink ref="L49" r:id="rId43" display="FDC-1511RUL-SPA.pdf"/>
    <hyperlink ref="L50" r:id="rId44" display="FDC-3011RUL-SPA.pdf"/>
    <hyperlink ref="L51" r:id="rId45" display="FDC-110KMR-ISO-SPA.pdf"/>
    <hyperlink ref="L52" r:id="rId46" display="FTP-2xxK_DS_SPA.pdf"/>
    <hyperlink ref="L53" r:id="rId47" display="FPP-T1200_DS_SPA.pdf"/>
    <hyperlink ref="L54" r:id="rId48" display="FPP-T700_DS_SPA.pdf"/>
    <hyperlink ref="L55" r:id="rId49" display="FPV-T200W_DS_SPA.pdf"/>
    <hyperlink ref="L56" r:id="rId50" display="FPV-T100W_DS_SPA.pdf"/>
    <hyperlink ref="L57" r:id="rId51" display="FPV-T060W_DS_SPA.pdf"/>
    <hyperlink ref="L58" r:id="rId52" display="FVR-3601_DS_SPA.pdf"/>
    <hyperlink ref="L59" r:id="rId53" display="FVP-1201B-SPA.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4"/>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2026-09-14T23:10:55Z</dcterms:created>
  <dc:creator>openpyxl</dc:creator>
  <dc:description/>
  <dc:language>en-US</dc:language>
  <cp:lastModifiedBy/>
  <dcterms:modified xsi:type="dcterms:W3CDTF">2026-09-14T23:10:55Z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